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E14AA461-E7DF-4788-9551-7A270E87FDD5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<sst xmlns="http://schemas.openxmlformats.org/spreadsheetml/2006/main" count="37" uniqueCount="37">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</sst>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jpeg"/>
<Relationship Id="rId20" Type="http://schemas.openxmlformats.org/officeDocument/2006/relationships/image" Target="../media/image20.jpeg"/>
<Relationship Id="rId21" Type="http://schemas.openxmlformats.org/officeDocument/2006/relationships/image" Target="../media/image21.jpeg"/>
<Relationship Id="rId22" Type="http://schemas.openxmlformats.org/officeDocument/2006/relationships/image" Target="../media/image22.jpe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19" name="Signature_Prepared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20" name="Signature_12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11</xdr:row>
      <xdr:rowOff>38100</xdr:rowOff>
    </xdr:from>
    <xdr:to>
      <xdr:col>11</xdr:col>
      <xdr:colOff>895350</xdr:colOff>
      <xdr:row>13</xdr:row>
      <xdr:rowOff>152400</xdr:rowOff>
    </xdr:to>
    <xdr:pic>
      <xdr:nvPicPr>
        <xdr:cNvPr id="121" name="Signature_12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11</xdr:row>
      <xdr:rowOff>38100</xdr:rowOff>
    </xdr:from>
    <xdr:to>
      <xdr:col>12</xdr:col>
      <xdr:colOff>895350</xdr:colOff>
      <xdr:row>13</xdr:row>
      <xdr:rowOff>152400</xdr:rowOff>
    </xdr:to>
    <xdr:pic>
      <xdr:nvPicPr>
        <xdr:cNvPr id="122" name="Signature_12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5" sqref="P15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42" t="s">
        <v>1</v>
      </c>
      <c r="B3" s="42"/>
      <c r="C3" s="3" t="e">
        <f>LOOKUP([1]gaisuan!V6,[1]name!$A$2:$A$400,[1]name!B2:B143)</f>
        <v>#N/A</v>
      </c>
      <c r="D3" s="1"/>
      <c r="E3" s="1"/>
      <c r="F3" s="1"/>
      <c r="G3" s="1"/>
      <c r="H3" s="2"/>
      <c r="I3" s="43" t="str">
        <f>[1]gaisuan!K11</f>
        <v>1900010000</v>
      </c>
      <c r="J3" s="43"/>
      <c r="K3" s="43"/>
      <c r="L3" s="4">
        <f>[1]gaisuan!K10</f>
        <v>0</v>
      </c>
      <c r="M3" s="5" t="s">
        <v>2</v>
      </c>
    </row>
    <row r="4" spans="1:13" ht="18">
      <c r="A4" s="42" t="s">
        <v>3</v>
      </c>
      <c r="B4" s="42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44" t="s">
        <v>5</v>
      </c>
      <c r="B5" s="44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44" t="s">
        <v>6</v>
      </c>
      <c r="B6" s="44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44"/>
      <c r="B7" s="44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40" t="s">
        <v>9</v>
      </c>
      <c r="B8" s="40"/>
      <c r="C8" s="45">
        <f>H45</f>
        <v>0</v>
      </c>
      <c r="D8" s="45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40" t="s">
        <v>11</v>
      </c>
      <c r="B9" s="40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40" t="s">
        <v>14</v>
      </c>
      <c r="B10" s="40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40" t="s">
        <v>15</v>
      </c>
      <c r="B11" s="40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40" t="s">
        <v>17</v>
      </c>
      <c r="B12" s="40"/>
      <c r="C12" s="25" t="s">
        <v>18</v>
      </c>
      <c r="D12" s="1"/>
      <c r="E12" s="1"/>
      <c r="F12" s="1"/>
      <c r="G12" s="1"/>
      <c r="H12" s="2"/>
      <c r="I12" s="2"/>
      <c r="J12" s="26"/>
      <c r="K12" s="52"/>
      <c r="L12" s="52"/>
      <c r="M12" s="52"/>
    </row>
    <row r="13" spans="1:13">
      <c r="A13" s="40" t="s">
        <v>19</v>
      </c>
      <c r="B13" s="40"/>
      <c r="C13" s="25" t="s">
        <v>20</v>
      </c>
      <c r="D13" s="1"/>
      <c r="E13" s="1"/>
      <c r="F13" s="1"/>
      <c r="G13" s="1"/>
      <c r="H13" s="2"/>
      <c r="I13" s="2"/>
      <c r="J13" s="26"/>
      <c r="K13" s="52"/>
      <c r="L13" s="52"/>
      <c r="M13" s="52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53"/>
      <c r="L14" s="53"/>
      <c r="M14" s="53"/>
    </row>
    <row r="15" spans="1:13" ht="36.75" thickBot="1">
      <c r="A15" s="27" t="s">
        <v>21</v>
      </c>
      <c r="B15" s="46" t="s">
        <v>22</v>
      </c>
      <c r="C15" s="46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47" t="s">
        <v>29</v>
      </c>
      <c r="K15" s="47"/>
      <c r="L15" s="47"/>
      <c r="M15" s="48"/>
    </row>
    <row r="16" spans="1:13">
      <c r="A16" s="31">
        <v>1</v>
      </c>
      <c r="B16" s="49">
        <f>[1]gaisuan!F14</f>
        <v>0</v>
      </c>
      <c r="C16" s="49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50"/>
      <c r="K16" s="49"/>
      <c r="L16" s="49"/>
      <c r="M16" s="51"/>
    </row>
    <row r="17" spans="1:13">
      <c r="A17" s="35">
        <v>2</v>
      </c>
      <c r="B17" s="54">
        <f>[1]gaisuan!F15</f>
        <v>0</v>
      </c>
      <c r="C17" s="54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55"/>
      <c r="K17" s="56"/>
      <c r="L17" s="56"/>
      <c r="M17" s="57"/>
    </row>
    <row r="18" spans="1:13">
      <c r="A18" s="35">
        <v>3</v>
      </c>
      <c r="B18" s="54">
        <f>[1]gaisuan!F16</f>
        <v>0</v>
      </c>
      <c r="C18" s="54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55"/>
      <c r="K18" s="56"/>
      <c r="L18" s="56"/>
      <c r="M18" s="57"/>
    </row>
    <row r="19" spans="1:13">
      <c r="A19" s="35">
        <v>4</v>
      </c>
      <c r="B19" s="54">
        <f>[1]gaisuan!F17</f>
        <v>0</v>
      </c>
      <c r="C19" s="54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58"/>
      <c r="K19" s="59"/>
      <c r="L19" s="59"/>
      <c r="M19" s="60"/>
    </row>
    <row r="20" spans="1:13">
      <c r="A20" s="35">
        <v>5</v>
      </c>
      <c r="B20" s="54">
        <f>[1]gaisuan!F18</f>
        <v>0</v>
      </c>
      <c r="C20" s="54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58"/>
      <c r="K20" s="59"/>
      <c r="L20" s="59"/>
      <c r="M20" s="60"/>
    </row>
    <row r="21" spans="1:13">
      <c r="A21" s="35">
        <v>6</v>
      </c>
      <c r="B21" s="54">
        <f>[1]gaisuan!F19</f>
        <v>0</v>
      </c>
      <c r="C21" s="54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58"/>
      <c r="K21" s="59"/>
      <c r="L21" s="59"/>
      <c r="M21" s="60"/>
    </row>
    <row r="22" spans="1:13">
      <c r="A22" s="35">
        <v>7</v>
      </c>
      <c r="B22" s="54">
        <f>[1]gaisuan!F20</f>
        <v>0</v>
      </c>
      <c r="C22" s="54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61"/>
      <c r="K22" s="54"/>
      <c r="L22" s="54"/>
      <c r="M22" s="62"/>
    </row>
    <row r="23" spans="1:13">
      <c r="A23" s="35">
        <v>8</v>
      </c>
      <c r="B23" s="54">
        <f>[1]gaisuan!F21</f>
        <v>0</v>
      </c>
      <c r="C23" s="54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61"/>
      <c r="K23" s="54"/>
      <c r="L23" s="54"/>
      <c r="M23" s="62"/>
    </row>
    <row r="24" spans="1:13">
      <c r="A24" s="35">
        <v>9</v>
      </c>
      <c r="B24" s="54">
        <f>[1]gaisuan!F22</f>
        <v>0</v>
      </c>
      <c r="C24" s="54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61"/>
      <c r="K24" s="54"/>
      <c r="L24" s="54"/>
      <c r="M24" s="62"/>
    </row>
    <row r="25" spans="1:13">
      <c r="A25" s="35">
        <v>10</v>
      </c>
      <c r="B25" s="54">
        <f>[1]gaisuan!F23</f>
        <v>0</v>
      </c>
      <c r="C25" s="54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3"/>
      <c r="K25" s="54"/>
      <c r="L25" s="54"/>
      <c r="M25" s="62"/>
    </row>
    <row r="26" spans="1:13">
      <c r="A26" s="35">
        <v>11</v>
      </c>
      <c r="B26" s="54">
        <f>[1]gaisuan!F24</f>
        <v>0</v>
      </c>
      <c r="C26" s="54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61"/>
      <c r="K26" s="54"/>
      <c r="L26" s="54"/>
      <c r="M26" s="62"/>
    </row>
    <row r="27" spans="1:13">
      <c r="A27" s="35">
        <v>12</v>
      </c>
      <c r="B27" s="54">
        <f>[1]gaisuan!F25</f>
        <v>0</v>
      </c>
      <c r="C27" s="54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58"/>
      <c r="K27" s="59"/>
      <c r="L27" s="59"/>
      <c r="M27" s="60"/>
    </row>
    <row r="28" spans="1:13">
      <c r="A28" s="35">
        <v>13</v>
      </c>
      <c r="B28" s="54">
        <f>[1]gaisuan!F26</f>
        <v>0</v>
      </c>
      <c r="C28" s="54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61"/>
      <c r="K28" s="54"/>
      <c r="L28" s="54"/>
      <c r="M28" s="62"/>
    </row>
    <row r="29" spans="1:13">
      <c r="A29" s="35">
        <v>14</v>
      </c>
      <c r="B29" s="54">
        <f>[1]gaisuan!F27</f>
        <v>0</v>
      </c>
      <c r="C29" s="54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61"/>
      <c r="K29" s="54"/>
      <c r="L29" s="54"/>
      <c r="M29" s="62"/>
    </row>
    <row r="30" spans="1:13">
      <c r="A30" s="35">
        <v>15</v>
      </c>
      <c r="B30" s="54">
        <f>[1]gaisuan!F28</f>
        <v>0</v>
      </c>
      <c r="C30" s="54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61"/>
      <c r="K30" s="54"/>
      <c r="L30" s="54"/>
      <c r="M30" s="62"/>
    </row>
    <row r="31" spans="1:13">
      <c r="A31" s="35">
        <v>16</v>
      </c>
      <c r="B31" s="54">
        <f>[1]gaisuan!F29</f>
        <v>0</v>
      </c>
      <c r="C31" s="54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61"/>
      <c r="K31" s="64"/>
      <c r="L31" s="64"/>
      <c r="M31" s="65"/>
    </row>
    <row r="32" spans="1:13">
      <c r="A32" s="35">
        <v>17</v>
      </c>
      <c r="B32" s="54">
        <f>[1]gaisuan!F30</f>
        <v>0</v>
      </c>
      <c r="C32" s="54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6"/>
      <c r="K32" s="64"/>
      <c r="L32" s="64"/>
      <c r="M32" s="65"/>
    </row>
    <row r="33" spans="1:13">
      <c r="A33" s="35">
        <v>18</v>
      </c>
      <c r="B33" s="54">
        <f>[1]gaisuan!F31</f>
        <v>0</v>
      </c>
      <c r="C33" s="54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61"/>
      <c r="K33" s="54"/>
      <c r="L33" s="54"/>
      <c r="M33" s="62"/>
    </row>
    <row r="34" spans="1:13">
      <c r="A34" s="35">
        <v>19</v>
      </c>
      <c r="B34" s="54">
        <f>[1]gaisuan!F32</f>
        <v>0</v>
      </c>
      <c r="C34" s="54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7"/>
      <c r="K34" s="64"/>
      <c r="L34" s="64"/>
      <c r="M34" s="65"/>
    </row>
    <row r="35" spans="1:13">
      <c r="A35" s="35">
        <v>20</v>
      </c>
      <c r="B35" s="54">
        <f>[1]gaisuan!F33</f>
        <v>0</v>
      </c>
      <c r="C35" s="54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61"/>
      <c r="K35" s="54"/>
      <c r="L35" s="54"/>
      <c r="M35" s="62"/>
    </row>
    <row r="36" spans="1:13">
      <c r="A36" s="35">
        <v>21</v>
      </c>
      <c r="B36" s="64">
        <f>[1]gaisuan!F34</f>
        <v>0</v>
      </c>
      <c r="C36" s="64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54"/>
      <c r="K36" s="54"/>
      <c r="L36" s="54"/>
      <c r="M36" s="62"/>
    </row>
    <row r="37" spans="1:13">
      <c r="A37" s="35">
        <v>22</v>
      </c>
      <c r="B37" s="54">
        <f>[1]gaisuan!F35</f>
        <v>0</v>
      </c>
      <c r="C37" s="54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61"/>
      <c r="K37" s="54"/>
      <c r="L37" s="54"/>
      <c r="M37" s="62"/>
    </row>
    <row r="38" spans="1:13">
      <c r="A38" s="35">
        <v>23</v>
      </c>
      <c r="B38" s="54">
        <f>[1]gaisuan!F36</f>
        <v>0</v>
      </c>
      <c r="C38" s="54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61"/>
      <c r="K38" s="54"/>
      <c r="L38" s="54"/>
      <c r="M38" s="62"/>
    </row>
    <row r="39" spans="1:13">
      <c r="A39" s="35">
        <v>24</v>
      </c>
      <c r="B39" s="54">
        <f>[1]gaisuan!F37</f>
        <v>0</v>
      </c>
      <c r="C39" s="54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61"/>
      <c r="K39" s="54"/>
      <c r="L39" s="54"/>
      <c r="M39" s="62"/>
    </row>
    <row r="40" spans="1:13">
      <c r="A40" s="35">
        <v>25</v>
      </c>
      <c r="B40" s="54">
        <f>[1]gaisuan!F38</f>
        <v>0</v>
      </c>
      <c r="C40" s="54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61"/>
      <c r="K40" s="54"/>
      <c r="L40" s="54"/>
      <c r="M40" s="62"/>
    </row>
    <row r="41" spans="1:13">
      <c r="A41" s="35">
        <v>26</v>
      </c>
      <c r="B41" s="54">
        <f>[1]gaisuan!F39</f>
        <v>0</v>
      </c>
      <c r="C41" s="54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61"/>
      <c r="K41" s="54"/>
      <c r="L41" s="54"/>
      <c r="M41" s="62"/>
    </row>
    <row r="42" spans="1:13">
      <c r="A42" s="35">
        <v>27</v>
      </c>
      <c r="B42" s="54">
        <f>[1]gaisuan!F40</f>
        <v>0</v>
      </c>
      <c r="C42" s="54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61"/>
      <c r="K42" s="54"/>
      <c r="L42" s="54"/>
      <c r="M42" s="62"/>
    </row>
    <row r="43" spans="1:13">
      <c r="A43" s="68">
        <f>[1]gaisuan!F39</f>
        <v>0</v>
      </c>
      <c r="B43" s="69"/>
      <c r="C43" s="69"/>
      <c r="D43" s="69"/>
      <c r="E43" s="70"/>
      <c r="F43" s="77" t="s">
        <v>30</v>
      </c>
      <c r="G43" s="77"/>
      <c r="H43" s="78">
        <f>SUM(I14:I42)</f>
        <v>0</v>
      </c>
      <c r="I43" s="78"/>
      <c r="J43" s="61"/>
      <c r="K43" s="54"/>
      <c r="L43" s="54"/>
      <c r="M43" s="62"/>
    </row>
    <row r="44" spans="1:13">
      <c r="A44" s="71"/>
      <c r="B44" s="72"/>
      <c r="C44" s="72"/>
      <c r="D44" s="72"/>
      <c r="E44" s="73"/>
      <c r="F44" s="77" t="s">
        <v>31</v>
      </c>
      <c r="G44" s="77"/>
      <c r="H44" s="78">
        <f>ROUND(H43*0.11,2)</f>
        <v>0</v>
      </c>
      <c r="I44" s="78"/>
      <c r="J44" s="61"/>
      <c r="K44" s="54"/>
      <c r="L44" s="54"/>
      <c r="M44" s="62"/>
    </row>
    <row r="45" spans="1:13">
      <c r="A45" s="71"/>
      <c r="B45" s="72"/>
      <c r="C45" s="72"/>
      <c r="D45" s="72"/>
      <c r="E45" s="73"/>
      <c r="F45" s="77" t="s">
        <v>32</v>
      </c>
      <c r="G45" s="77"/>
      <c r="H45" s="78">
        <f>H43+H44</f>
        <v>0</v>
      </c>
      <c r="I45" s="78"/>
      <c r="J45" s="79"/>
      <c r="K45" s="79"/>
      <c r="L45" s="79"/>
      <c r="M45" s="80"/>
    </row>
    <row r="46" spans="1:13">
      <c r="A46" s="71"/>
      <c r="B46" s="72"/>
      <c r="C46" s="72"/>
      <c r="D46" s="72"/>
      <c r="E46" s="73"/>
      <c r="F46" s="81" t="s">
        <v>33</v>
      </c>
      <c r="G46" s="82"/>
      <c r="H46" s="82"/>
      <c r="I46" s="82"/>
      <c r="J46" s="82"/>
      <c r="K46" s="82"/>
      <c r="L46" s="82"/>
      <c r="M46" s="83"/>
    </row>
    <row r="47" spans="1:13" ht="15.75" thickBot="1">
      <c r="A47" s="74"/>
      <c r="B47" s="75"/>
      <c r="C47" s="75"/>
      <c r="D47" s="75"/>
      <c r="E47" s="76"/>
      <c r="F47" s="84"/>
      <c r="G47" s="85"/>
      <c r="H47" s="85"/>
      <c r="I47" s="85"/>
      <c r="J47" s="85"/>
      <c r="K47" s="85"/>
      <c r="L47" s="85"/>
      <c r="M47" s="86"/>
    </row>
  </sheetData>
  <protectedRanges>
    <protectedRange sqref="J16:M47" name="区域3"/>
    <protectedRange sqref="H5:K7" name="区域2"/>
    <protectedRange sqref="C9:F13" name="区域1"/>
  </protectedRanges>
  <mergeCells count="84"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  <mergeCell ref="B38:C38"/>
    <mergeCell ref="J38:M38"/>
    <mergeCell ref="B39:C39"/>
    <mergeCell ref="J39:M39"/>
    <mergeCell ref="B40:C40"/>
    <mergeCell ref="J40:M40"/>
    <mergeCell ref="B35:C35"/>
    <mergeCell ref="J35:M35"/>
    <mergeCell ref="B36:C36"/>
    <mergeCell ref="J36:M36"/>
    <mergeCell ref="B37:C37"/>
    <mergeCell ref="J37:M37"/>
    <mergeCell ref="B32:C32"/>
    <mergeCell ref="J32:M32"/>
    <mergeCell ref="B33:C33"/>
    <mergeCell ref="J33:M33"/>
    <mergeCell ref="B34:C34"/>
    <mergeCell ref="J34:M34"/>
    <mergeCell ref="B29:C29"/>
    <mergeCell ref="J29:M29"/>
    <mergeCell ref="B30:C30"/>
    <mergeCell ref="J30:M30"/>
    <mergeCell ref="B31:C31"/>
    <mergeCell ref="J31:M31"/>
    <mergeCell ref="B26:C26"/>
    <mergeCell ref="J26:M26"/>
    <mergeCell ref="B27:C27"/>
    <mergeCell ref="J27:M27"/>
    <mergeCell ref="B28:C28"/>
    <mergeCell ref="J28:M28"/>
    <mergeCell ref="B23:C23"/>
    <mergeCell ref="J23:M23"/>
    <mergeCell ref="B24:C24"/>
    <mergeCell ref="J24:M24"/>
    <mergeCell ref="B25:C25"/>
    <mergeCell ref="J25:M25"/>
    <mergeCell ref="B20:C20"/>
    <mergeCell ref="J20:M20"/>
    <mergeCell ref="B21:C21"/>
    <mergeCell ref="J21:M21"/>
    <mergeCell ref="B22:C22"/>
    <mergeCell ref="J22:M22"/>
    <mergeCell ref="B17:C17"/>
    <mergeCell ref="J17:M17"/>
    <mergeCell ref="B18:C18"/>
    <mergeCell ref="J18:M18"/>
    <mergeCell ref="B19:C19"/>
    <mergeCell ref="J19:M19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2026-04-01T11:17:27Z</dcterms:modified>
</cp:coreProperties>
</file>