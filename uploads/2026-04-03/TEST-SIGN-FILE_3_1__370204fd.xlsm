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D:\Risyan\Project\QC-Assistance - AMTI\Doc AMTI\"/>
    </mc:Choice>
  </mc:AlternateContent>
  <xr:revisionPtr revIDLastSave="0" documentId="13_ncr:1_{E14AA461-E7DF-4788-9551-7A270E87FDD5}" xr6:coauthVersionLast="47" xr6:coauthVersionMax="47" xr10:uidLastSave="{00000000-0000-0000-0000-000000000000}"/>
  <bookViews>
    <workbookView xWindow="-120" yWindow="-120" windowWidth="29040" windowHeight="15720" xr2:uid="{CA9DD111-5047-4804-8554-850A3712241A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43" i="1" l="1"/>
  <c r="G42" i="1"/>
  <c r="F42" i="1"/>
  <c r="E42" i="1"/>
  <c r="D42" i="1"/>
  <c r="B42" i="1"/>
  <c r="H42" i="1" s="1"/>
  <c r="I42" i="1" s="1"/>
  <c r="H41" i="1"/>
  <c r="I41" i="1" s="1"/>
  <c r="G41" i="1"/>
  <c r="F41" i="1"/>
  <c r="E41" i="1"/>
  <c r="D41" i="1"/>
  <c r="B41" i="1"/>
  <c r="G40" i="1"/>
  <c r="F40" i="1"/>
  <c r="E40" i="1"/>
  <c r="D40" i="1"/>
  <c r="B40" i="1"/>
  <c r="H40" i="1" s="1"/>
  <c r="I40" i="1" s="1"/>
  <c r="G39" i="1"/>
  <c r="F39" i="1"/>
  <c r="E39" i="1"/>
  <c r="D39" i="1"/>
  <c r="B39" i="1"/>
  <c r="H39" i="1" s="1"/>
  <c r="I39" i="1" s="1"/>
  <c r="H38" i="1"/>
  <c r="I38" i="1" s="1"/>
  <c r="G38" i="1"/>
  <c r="F38" i="1"/>
  <c r="E38" i="1"/>
  <c r="D38" i="1"/>
  <c r="B38" i="1"/>
  <c r="G37" i="1"/>
  <c r="F37" i="1"/>
  <c r="E37" i="1"/>
  <c r="D37" i="1"/>
  <c r="B37" i="1"/>
  <c r="H37" i="1" s="1"/>
  <c r="I37" i="1" s="1"/>
  <c r="H36" i="1"/>
  <c r="I36" i="1" s="1"/>
  <c r="G36" i="1"/>
  <c r="F36" i="1"/>
  <c r="E36" i="1"/>
  <c r="D36" i="1"/>
  <c r="B36" i="1"/>
  <c r="G35" i="1"/>
  <c r="F35" i="1"/>
  <c r="E35" i="1"/>
  <c r="D35" i="1"/>
  <c r="B35" i="1"/>
  <c r="H35" i="1" s="1"/>
  <c r="I35" i="1" s="1"/>
  <c r="H34" i="1"/>
  <c r="I34" i="1" s="1"/>
  <c r="G34" i="1"/>
  <c r="F34" i="1"/>
  <c r="E34" i="1"/>
  <c r="D34" i="1"/>
  <c r="B34" i="1"/>
  <c r="G33" i="1"/>
  <c r="F33" i="1"/>
  <c r="E33" i="1"/>
  <c r="D33" i="1"/>
  <c r="B33" i="1"/>
  <c r="H33" i="1" s="1"/>
  <c r="I33" i="1" s="1"/>
  <c r="H32" i="1"/>
  <c r="I32" i="1" s="1"/>
  <c r="G32" i="1"/>
  <c r="F32" i="1"/>
  <c r="E32" i="1"/>
  <c r="D32" i="1"/>
  <c r="B32" i="1"/>
  <c r="G31" i="1"/>
  <c r="F31" i="1"/>
  <c r="E31" i="1"/>
  <c r="D31" i="1"/>
  <c r="B31" i="1"/>
  <c r="H31" i="1" s="1"/>
  <c r="I31" i="1" s="1"/>
  <c r="G30" i="1"/>
  <c r="F30" i="1"/>
  <c r="E30" i="1"/>
  <c r="D30" i="1"/>
  <c r="B30" i="1"/>
  <c r="H30" i="1" s="1"/>
  <c r="I30" i="1" s="1"/>
  <c r="G29" i="1"/>
  <c r="F29" i="1"/>
  <c r="E29" i="1"/>
  <c r="D29" i="1"/>
  <c r="B29" i="1"/>
  <c r="H29" i="1" s="1"/>
  <c r="I29" i="1" s="1"/>
  <c r="G28" i="1"/>
  <c r="F28" i="1"/>
  <c r="E28" i="1"/>
  <c r="D28" i="1"/>
  <c r="B28" i="1"/>
  <c r="H28" i="1" s="1"/>
  <c r="I28" i="1" s="1"/>
  <c r="H27" i="1"/>
  <c r="I27" i="1" s="1"/>
  <c r="G27" i="1"/>
  <c r="F27" i="1"/>
  <c r="E27" i="1"/>
  <c r="D27" i="1"/>
  <c r="B27" i="1"/>
  <c r="G26" i="1"/>
  <c r="F26" i="1"/>
  <c r="E26" i="1"/>
  <c r="D26" i="1"/>
  <c r="B26" i="1"/>
  <c r="H26" i="1" s="1"/>
  <c r="I26" i="1" s="1"/>
  <c r="H25" i="1"/>
  <c r="I25" i="1" s="1"/>
  <c r="G25" i="1"/>
  <c r="F25" i="1"/>
  <c r="E25" i="1"/>
  <c r="D25" i="1"/>
  <c r="B25" i="1"/>
  <c r="G24" i="1"/>
  <c r="F24" i="1"/>
  <c r="E24" i="1"/>
  <c r="D24" i="1"/>
  <c r="B24" i="1"/>
  <c r="H24" i="1" s="1"/>
  <c r="I24" i="1" s="1"/>
  <c r="G23" i="1"/>
  <c r="F23" i="1"/>
  <c r="E23" i="1"/>
  <c r="D23" i="1"/>
  <c r="B23" i="1"/>
  <c r="H23" i="1" s="1"/>
  <c r="I23" i="1" s="1"/>
  <c r="H22" i="1"/>
  <c r="I22" i="1" s="1"/>
  <c r="G22" i="1"/>
  <c r="F22" i="1"/>
  <c r="E22" i="1"/>
  <c r="D22" i="1"/>
  <c r="B22" i="1"/>
  <c r="G21" i="1"/>
  <c r="F21" i="1"/>
  <c r="E21" i="1"/>
  <c r="D21" i="1"/>
  <c r="B21" i="1"/>
  <c r="H21" i="1" s="1"/>
  <c r="I21" i="1" s="1"/>
  <c r="H20" i="1"/>
  <c r="I20" i="1" s="1"/>
  <c r="G20" i="1"/>
  <c r="F20" i="1"/>
  <c r="E20" i="1"/>
  <c r="D20" i="1"/>
  <c r="B20" i="1"/>
  <c r="G19" i="1"/>
  <c r="F19" i="1"/>
  <c r="E19" i="1"/>
  <c r="D19" i="1"/>
  <c r="B19" i="1"/>
  <c r="H19" i="1" s="1"/>
  <c r="I19" i="1" s="1"/>
  <c r="H18" i="1"/>
  <c r="I18" i="1" s="1"/>
  <c r="G18" i="1"/>
  <c r="F18" i="1"/>
  <c r="E18" i="1"/>
  <c r="D18" i="1"/>
  <c r="B18" i="1"/>
  <c r="G17" i="1"/>
  <c r="F17" i="1"/>
  <c r="E17" i="1"/>
  <c r="D17" i="1"/>
  <c r="B17" i="1"/>
  <c r="H17" i="1" s="1"/>
  <c r="I17" i="1" s="1"/>
  <c r="H16" i="1"/>
  <c r="I16" i="1" s="1"/>
  <c r="H43" i="1" s="1"/>
  <c r="G16" i="1"/>
  <c r="F16" i="1"/>
  <c r="E16" i="1"/>
  <c r="D16" i="1"/>
  <c r="B16" i="1"/>
  <c r="C10" i="1"/>
  <c r="C6" i="1"/>
  <c r="C5" i="1"/>
  <c r="C4" i="1"/>
  <c r="L3" i="1"/>
  <c r="I3" i="1"/>
  <c r="C3" i="1"/>
  <c r="H44" i="1" l="1"/>
  <c r="H45" i="1" s="1"/>
  <c r="C8" i="1" s="1"/>
</calcChain>
</file>

<file path=xl/sharedStrings.xml><?xml version="1.0" encoding="utf-8"?>
<sst xmlns="http://schemas.openxmlformats.org/spreadsheetml/2006/main" count="37" uniqueCount="37">
  <si>
    <t>QUOTATION</t>
    <phoneticPr fontId="10"/>
  </si>
  <si>
    <t>CUSTOMER:</t>
    <rPh sb="0" eb="2">
      <t>コウシ</t>
    </rPh>
    <rPh sb="2" eb="4">
      <t>メイショウ</t>
    </rPh>
    <phoneticPr fontId="10"/>
  </si>
  <si>
    <t>A</t>
    <phoneticPr fontId="0"/>
  </si>
  <si>
    <t>ATTN:</t>
    <phoneticPr fontId="10"/>
  </si>
  <si>
    <t>PT.ANDOU MACHINERY TRADING INDONESIA</t>
    <rPh sb="2" eb="3">
      <t>トウ</t>
    </rPh>
    <rPh sb="3" eb="4">
      <t>グ</t>
    </rPh>
    <rPh sb="5" eb="7">
      <t>シャンハイ</t>
    </rPh>
    <rPh sb="8" eb="10">
      <t>ユウゲン</t>
    </rPh>
    <rPh sb="10" eb="12">
      <t>コウシ</t>
    </rPh>
    <phoneticPr fontId="0"/>
  </si>
  <si>
    <r>
      <t>TEL</t>
    </r>
    <r>
      <rPr>
        <sz val="11"/>
        <rFont val="PMingLiU-ExtB"/>
        <family val="1"/>
        <charset val="136"/>
      </rPr>
      <t>：</t>
    </r>
  </si>
  <si>
    <r>
      <t>FAX</t>
    </r>
    <r>
      <rPr>
        <sz val="11"/>
        <rFont val="PMingLiU-ExtB"/>
        <family val="1"/>
        <charset val="136"/>
      </rPr>
      <t>：</t>
    </r>
  </si>
  <si>
    <t xml:space="preserve">TELP:+6221-8997-0704 </t>
  </si>
  <si>
    <t>FAX:+6221-8997-1468</t>
    <phoneticPr fontId="15"/>
  </si>
  <si>
    <t>TOTAL</t>
    <rPh sb="3" eb="4">
      <t>ソウ</t>
    </rPh>
    <phoneticPr fontId="0"/>
  </si>
  <si>
    <t>Ruko Premium Icon City Blok D-06 Jl.Raya Boulevard Deltamas</t>
    <phoneticPr fontId="0"/>
  </si>
  <si>
    <t>SHIPMENT</t>
    <phoneticPr fontId="0"/>
  </si>
  <si>
    <t>DDP/At Your Place</t>
    <rPh sb="0" eb="2">
      <t>タカシ</t>
    </rPh>
    <phoneticPr fontId="0"/>
  </si>
  <si>
    <t xml:space="preserve">No.189 Jayamukti, Cikarang Pusat - Kab.Bekasi, Jawa Barat 17815 </t>
    <phoneticPr fontId="0"/>
  </si>
  <si>
    <t>DATE</t>
    <phoneticPr fontId="0"/>
  </si>
  <si>
    <t>VALIDITY</t>
    <phoneticPr fontId="0"/>
  </si>
  <si>
    <t xml:space="preserve">2WEEKS FROM THE DATE OF QUOTATION </t>
  </si>
  <si>
    <t>PAYMENT</t>
    <phoneticPr fontId="0"/>
  </si>
  <si>
    <t xml:space="preserve">T.T REMITANCE WITHIN 30 DAYS AFTER INVOICE DATE </t>
  </si>
  <si>
    <t>PRICE</t>
    <phoneticPr fontId="0"/>
  </si>
  <si>
    <t>PPN INCLUDED</t>
    <phoneticPr fontId="0"/>
  </si>
  <si>
    <t>NO</t>
    <phoneticPr fontId="0"/>
  </si>
  <si>
    <t>DESCRIPTION</t>
    <rPh sb="4" eb="6">
      <t>カタバン</t>
    </rPh>
    <phoneticPr fontId="0"/>
  </si>
  <si>
    <t>BRAND</t>
    <phoneticPr fontId="0"/>
  </si>
  <si>
    <t>DELIVERY</t>
    <phoneticPr fontId="0"/>
  </si>
  <si>
    <t>QTY</t>
    <phoneticPr fontId="0"/>
  </si>
  <si>
    <t>UNIT</t>
    <phoneticPr fontId="0"/>
  </si>
  <si>
    <r>
      <t xml:space="preserve">UNIT 
PRICE
</t>
    </r>
    <r>
      <rPr>
        <sz val="9"/>
        <rFont val="PMingLiU-ExtB"/>
        <family val="1"/>
        <charset val="136"/>
      </rPr>
      <t>（</t>
    </r>
    <r>
      <rPr>
        <b/>
        <sz val="9"/>
        <rFont val="Arial"/>
        <family val="2"/>
      </rPr>
      <t>Rp</t>
    </r>
    <r>
      <rPr>
        <b/>
        <sz val="9"/>
        <rFont val="PMingLiU-ExtB"/>
        <family val="1"/>
        <charset val="136"/>
      </rPr>
      <t>）</t>
    </r>
  </si>
  <si>
    <r>
      <t xml:space="preserve">TOTAL AMOUNT
</t>
    </r>
    <r>
      <rPr>
        <sz val="9"/>
        <rFont val="PMingLiU-ExtB"/>
        <family val="1"/>
        <charset val="136"/>
      </rPr>
      <t>（</t>
    </r>
    <r>
      <rPr>
        <b/>
        <sz val="9"/>
        <rFont val="Arial"/>
        <family val="2"/>
      </rPr>
      <t>Rp</t>
    </r>
    <r>
      <rPr>
        <b/>
        <sz val="9"/>
        <rFont val="PMingLiU-ExtB"/>
        <family val="1"/>
        <charset val="136"/>
      </rPr>
      <t>）</t>
    </r>
  </si>
  <si>
    <t>REMARKS</t>
    <rPh sb="4" eb="6">
      <t>ビコウ</t>
    </rPh>
    <phoneticPr fontId="0"/>
  </si>
  <si>
    <t>Sub Total</t>
    <rPh sb="0" eb="2">
      <t>ゴウケイ</t>
    </rPh>
    <phoneticPr fontId="0"/>
  </si>
  <si>
    <t>PPN(11%)</t>
    <phoneticPr fontId="0"/>
  </si>
  <si>
    <t>TOTAL</t>
  </si>
  <si>
    <r>
      <t xml:space="preserve">On the amount recorded including shipping.
Information :
Invoices sent in April,the amount of </t>
    </r>
    <r>
      <rPr>
        <b/>
        <sz val="9"/>
        <rFont val="Arial"/>
        <family val="2"/>
      </rPr>
      <t>VAT is increased to 11%</t>
    </r>
  </si>
  <si>
    <t>PREPARE</t>
  </si>
  <si>
    <t>CHECKED</t>
  </si>
  <si>
    <t>APPROVEL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</si>
</sst>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Rp&quot;* #,##0_-;\-&quot;Rp&quot;* #,##0_-;_-&quot;Rp&quot;* &quot;-&quot;_-;_-@_-"/>
    <numFmt numFmtId="41" formatCode="_-* #,##0_-;\-* #,##0_-;_-* &quot;-&quot;_-;_-@_-"/>
    <numFmt numFmtId="164" formatCode="yyyy/m/d;@"/>
    <numFmt numFmtId="165" formatCode="&quot;¥&quot;#,##0.00;&quot;¥&quot;\-#,##0.00"/>
    <numFmt numFmtId="166" formatCode="[$Rp-421]#,##0_);[Red]\([$Rp-421]#,##0\)"/>
    <numFmt numFmtId="167" formatCode="dd/mm/yyyy;@"/>
    <numFmt numFmtId="168" formatCode="0.00_);[Red]\(0.00\)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u/>
      <sz val="10"/>
      <name val="Arial"/>
      <family val="2"/>
    </font>
    <font>
      <sz val="14"/>
      <name val="Arial"/>
      <family val="2"/>
    </font>
    <font>
      <u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sz val="11"/>
      <name val="PMingLiU-ExtB"/>
      <family val="1"/>
      <charset val="136"/>
    </font>
    <font>
      <b/>
      <sz val="14"/>
      <name val="Arial"/>
      <family val="2"/>
    </font>
    <font>
      <b/>
      <u/>
      <sz val="14"/>
      <name val="Arial"/>
      <family val="2"/>
    </font>
    <font>
      <sz val="7"/>
      <name val="Arial"/>
      <family val="2"/>
    </font>
    <font>
      <sz val="9"/>
      <name val="Arial"/>
      <family val="2"/>
    </font>
    <font>
      <u/>
      <sz val="9"/>
      <name val="Arial"/>
      <family val="2"/>
    </font>
    <font>
      <sz val="9"/>
      <name val="PMingLiU-ExtB"/>
      <family val="1"/>
      <charset val="136"/>
    </font>
    <font>
      <b/>
      <sz val="9"/>
      <name val="Arial"/>
      <family val="2"/>
    </font>
    <font>
      <b/>
      <sz val="9"/>
      <name val="PMingLiU-ExtB"/>
      <family val="1"/>
      <charset val="136"/>
    </font>
    <font>
      <sz val="8"/>
      <name val="Arial"/>
      <family val="2"/>
    </font>
    <font>
      <b/>
      <u/>
      <sz val="8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0" fontId="3" fillId="0" borderId="0" xfId="0" applyFont="1"/>
    <xf numFmtId="40" fontId="3" fillId="0" borderId="0" xfId="0" applyNumberFormat="1" applyFont="1"/>
    <xf numFmtId="0" fontId="4" fillId="0" borderId="0" xfId="0" applyFont="1"/>
    <xf numFmtId="40" fontId="5" fillId="0" borderId="0" xfId="0" applyNumberFormat="1" applyFont="1" applyAlignment="1">
      <alignment horizontal="center" shrinkToFit="1"/>
    </xf>
    <xf numFmtId="40" fontId="5" fillId="0" borderId="0" xfId="0" applyNumberFormat="1" applyFont="1"/>
    <xf numFmtId="0" fontId="6" fillId="0" borderId="0" xfId="0" applyFont="1" applyAlignment="1">
      <alignment horizontal="left"/>
    </xf>
    <xf numFmtId="0" fontId="7" fillId="0" borderId="0" xfId="0" applyFont="1"/>
    <xf numFmtId="0" fontId="8" fillId="0" borderId="0" xfId="0" applyFont="1"/>
    <xf numFmtId="40" fontId="9" fillId="0" borderId="0" xfId="0" applyNumberFormat="1" applyFont="1"/>
    <xf numFmtId="164" fontId="10" fillId="0" borderId="0" xfId="1" applyNumberFormat="1" applyFont="1"/>
    <xf numFmtId="0" fontId="9" fillId="0" borderId="0" xfId="0" applyFont="1"/>
    <xf numFmtId="0" fontId="3" fillId="0" borderId="0" xfId="0" applyFont="1" applyAlignment="1">
      <alignment horizontal="left"/>
    </xf>
    <xf numFmtId="165" fontId="7" fillId="0" borderId="0" xfId="0" applyNumberFormat="1" applyFont="1"/>
    <xf numFmtId="0" fontId="3" fillId="0" borderId="0" xfId="0" applyFont="1" applyAlignment="1">
      <alignment horizontal="left" shrinkToFit="1"/>
    </xf>
    <xf numFmtId="0" fontId="6" fillId="0" borderId="0" xfId="0" applyFont="1" applyAlignment="1">
      <alignment horizontal="left" shrinkToFit="1"/>
    </xf>
    <xf numFmtId="0" fontId="12" fillId="0" borderId="0" xfId="0" applyFont="1" applyAlignment="1">
      <alignment horizontal="left" shrinkToFit="1"/>
    </xf>
    <xf numFmtId="0" fontId="9" fillId="0" borderId="0" xfId="0" applyFont="1" applyAlignment="1">
      <alignment horizontal="right" vertical="center"/>
    </xf>
    <xf numFmtId="0" fontId="14" fillId="0" borderId="0" xfId="0" applyFont="1"/>
    <xf numFmtId="40" fontId="14" fillId="0" borderId="0" xfId="0" applyNumberFormat="1" applyFont="1"/>
    <xf numFmtId="0" fontId="15" fillId="0" borderId="0" xfId="0" applyFont="1"/>
    <xf numFmtId="0" fontId="14" fillId="0" borderId="0" xfId="0" applyFont="1" applyAlignment="1">
      <alignment vertical="center"/>
    </xf>
    <xf numFmtId="167" fontId="16" fillId="0" borderId="0" xfId="1" applyNumberFormat="1" applyFont="1" applyAlignment="1">
      <alignment horizontal="left"/>
    </xf>
    <xf numFmtId="0" fontId="9" fillId="0" borderId="0" xfId="0" applyFont="1" applyAlignment="1">
      <alignment vertical="center"/>
    </xf>
    <xf numFmtId="15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40" fontId="3" fillId="0" borderId="0" xfId="1" applyNumberFormat="1" applyFont="1"/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/>
    </xf>
    <xf numFmtId="40" fontId="15" fillId="0" borderId="2" xfId="0" applyNumberFormat="1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shrinkToFit="1"/>
    </xf>
    <xf numFmtId="0" fontId="20" fillId="0" borderId="6" xfId="0" applyFont="1" applyBorder="1" applyAlignment="1">
      <alignment horizontal="center" vertical="center" shrinkToFit="1"/>
    </xf>
    <xf numFmtId="14" fontId="20" fillId="0" borderId="6" xfId="0" applyNumberFormat="1" applyFont="1" applyBorder="1" applyAlignment="1">
      <alignment horizontal="center" vertical="center" shrinkToFit="1"/>
    </xf>
    <xf numFmtId="38" fontId="20" fillId="0" borderId="6" xfId="0" applyNumberFormat="1" applyFont="1" applyBorder="1" applyAlignment="1">
      <alignment horizontal="right" vertical="center" shrinkToFit="1"/>
    </xf>
    <xf numFmtId="0" fontId="20" fillId="0" borderId="8" xfId="0" applyFont="1" applyBorder="1" applyAlignment="1">
      <alignment horizontal="center" vertical="center" shrinkToFit="1"/>
    </xf>
    <xf numFmtId="0" fontId="20" fillId="0" borderId="9" xfId="0" applyFont="1" applyBorder="1" applyAlignment="1">
      <alignment horizontal="center" vertical="center" shrinkToFit="1"/>
    </xf>
    <xf numFmtId="14" fontId="20" fillId="0" borderId="9" xfId="0" applyNumberFormat="1" applyFont="1" applyBorder="1" applyAlignment="1">
      <alignment horizontal="center" vertical="center" shrinkToFit="1"/>
    </xf>
    <xf numFmtId="38" fontId="20" fillId="0" borderId="9" xfId="0" applyNumberFormat="1" applyFont="1" applyBorder="1" applyAlignment="1">
      <alignment horizontal="right" vertical="center" shrinkToFit="1"/>
    </xf>
    <xf numFmtId="40" fontId="1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4" fontId="5" fillId="0" borderId="0" xfId="1" applyNumberFormat="1" applyFont="1" applyAlignment="1">
      <alignment horizontal="right" shrinkToFit="1"/>
    </xf>
    <xf numFmtId="0" fontId="3" fillId="0" borderId="0" xfId="0" applyFont="1" applyAlignment="1">
      <alignment horizontal="left"/>
    </xf>
    <xf numFmtId="166" fontId="13" fillId="0" borderId="0" xfId="2" applyNumberFormat="1" applyFont="1" applyAlignment="1">
      <alignment horizontal="left" vertical="center"/>
    </xf>
    <xf numFmtId="0" fontId="15" fillId="0" borderId="2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20" fillId="0" borderId="6" xfId="0" applyFont="1" applyBorder="1" applyAlignment="1">
      <alignment horizontal="center" vertical="center" shrinkToFit="1"/>
    </xf>
    <xf numFmtId="0" fontId="20" fillId="0" borderId="6" xfId="0" quotePrefix="1" applyFont="1" applyBorder="1" applyAlignment="1">
      <alignment horizontal="center" vertical="center" shrinkToFit="1"/>
    </xf>
    <xf numFmtId="0" fontId="20" fillId="0" borderId="7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 shrinkToFit="1"/>
    </xf>
    <xf numFmtId="0" fontId="21" fillId="0" borderId="10" xfId="0" quotePrefix="1" applyFont="1" applyBorder="1" applyAlignment="1">
      <alignment horizontal="center" vertical="center" shrinkToFit="1"/>
    </xf>
    <xf numFmtId="0" fontId="21" fillId="0" borderId="10" xfId="0" applyFont="1" applyBorder="1" applyAlignment="1">
      <alignment horizontal="center" vertical="center" shrinkToFit="1"/>
    </xf>
    <xf numFmtId="0" fontId="21" fillId="0" borderId="11" xfId="0" applyFont="1" applyBorder="1" applyAlignment="1">
      <alignment horizontal="center" vertical="center" shrinkToFit="1"/>
    </xf>
    <xf numFmtId="0" fontId="20" fillId="0" borderId="10" xfId="0" quotePrefix="1" applyFont="1" applyBorder="1" applyAlignment="1">
      <alignment horizontal="center" vertical="center" shrinkToFit="1"/>
    </xf>
    <xf numFmtId="0" fontId="20" fillId="0" borderId="10" xfId="0" applyFont="1" applyBorder="1" applyAlignment="1">
      <alignment horizontal="center" vertical="center" shrinkToFit="1"/>
    </xf>
    <xf numFmtId="0" fontId="20" fillId="0" borderId="11" xfId="0" applyFont="1" applyBorder="1" applyAlignment="1">
      <alignment horizontal="center" vertical="center" shrinkToFit="1"/>
    </xf>
    <xf numFmtId="0" fontId="20" fillId="0" borderId="9" xfId="0" quotePrefix="1" applyFont="1" applyBorder="1" applyAlignment="1">
      <alignment horizontal="center" vertical="center" shrinkToFit="1"/>
    </xf>
    <xf numFmtId="0" fontId="20" fillId="0" borderId="12" xfId="0" applyFont="1" applyBorder="1" applyAlignment="1">
      <alignment horizontal="center" vertical="center" shrinkToFit="1"/>
    </xf>
    <xf numFmtId="0" fontId="20" fillId="0" borderId="9" xfId="0" applyFont="1" applyBorder="1" applyAlignment="1">
      <alignment horizontal="center" vertical="center" wrapText="1" shrinkToFit="1"/>
    </xf>
    <xf numFmtId="0" fontId="21" fillId="0" borderId="9" xfId="0" applyFont="1" applyBorder="1" applyAlignment="1">
      <alignment horizontal="center" vertical="center" shrinkToFit="1"/>
    </xf>
    <xf numFmtId="0" fontId="21" fillId="0" borderId="12" xfId="0" applyFont="1" applyBorder="1" applyAlignment="1">
      <alignment horizontal="center" vertical="center" shrinkToFit="1"/>
    </xf>
    <xf numFmtId="14" fontId="20" fillId="0" borderId="9" xfId="0" quotePrefix="1" applyNumberFormat="1" applyFont="1" applyBorder="1" applyAlignment="1">
      <alignment horizontal="center" vertical="center" shrinkToFit="1"/>
    </xf>
    <xf numFmtId="0" fontId="21" fillId="0" borderId="9" xfId="0" quotePrefix="1" applyFont="1" applyBorder="1" applyAlignment="1">
      <alignment horizontal="center" vertical="center" shrinkToFit="1"/>
    </xf>
    <xf numFmtId="0" fontId="20" fillId="0" borderId="13" xfId="0" applyFont="1" applyBorder="1" applyAlignment="1">
      <alignment horizontal="center" vertical="center" wrapText="1" shrinkToFit="1"/>
    </xf>
    <xf numFmtId="0" fontId="20" fillId="0" borderId="14" xfId="0" applyFont="1" applyBorder="1" applyAlignment="1">
      <alignment horizontal="center" vertical="center" wrapText="1" shrinkToFit="1"/>
    </xf>
    <xf numFmtId="0" fontId="20" fillId="0" borderId="15" xfId="0" applyFont="1" applyBorder="1" applyAlignment="1">
      <alignment horizontal="center" vertical="center" wrapText="1" shrinkToFit="1"/>
    </xf>
    <xf numFmtId="0" fontId="20" fillId="0" borderId="16" xfId="0" applyFont="1" applyBorder="1" applyAlignment="1">
      <alignment horizontal="center" vertical="center" wrapText="1" shrinkToFit="1"/>
    </xf>
    <xf numFmtId="0" fontId="20" fillId="0" borderId="0" xfId="0" applyFont="1" applyAlignment="1">
      <alignment horizontal="center" vertical="center" wrapText="1" shrinkToFit="1"/>
    </xf>
    <xf numFmtId="0" fontId="20" fillId="0" borderId="17" xfId="0" applyFont="1" applyBorder="1" applyAlignment="1">
      <alignment horizontal="center" vertical="center" wrapText="1" shrinkToFit="1"/>
    </xf>
    <xf numFmtId="0" fontId="20" fillId="0" borderId="20" xfId="0" applyFont="1" applyBorder="1" applyAlignment="1">
      <alignment horizontal="center" vertical="center" wrapText="1" shrinkToFit="1"/>
    </xf>
    <xf numFmtId="0" fontId="20" fillId="0" borderId="21" xfId="0" applyFont="1" applyBorder="1" applyAlignment="1">
      <alignment horizontal="center" vertical="center" wrapText="1" shrinkToFit="1"/>
    </xf>
    <xf numFmtId="0" fontId="20" fillId="0" borderId="22" xfId="0" applyFont="1" applyBorder="1" applyAlignment="1">
      <alignment horizontal="center" vertical="center" wrapText="1" shrinkToFit="1"/>
    </xf>
    <xf numFmtId="168" fontId="15" fillId="0" borderId="9" xfId="0" applyNumberFormat="1" applyFont="1" applyBorder="1" applyAlignment="1">
      <alignment horizontal="center" vertical="center" shrinkToFit="1"/>
    </xf>
    <xf numFmtId="166" fontId="15" fillId="0" borderId="9" xfId="0" applyNumberFormat="1" applyFont="1" applyBorder="1" applyAlignment="1">
      <alignment horizontal="right" vertical="center" shrinkToFit="1"/>
    </xf>
    <xf numFmtId="0" fontId="15" fillId="0" borderId="9" xfId="0" applyFont="1" applyBorder="1" applyAlignment="1">
      <alignment horizontal="center" vertical="center" shrinkToFit="1"/>
    </xf>
    <xf numFmtId="0" fontId="15" fillId="0" borderId="12" xfId="0" applyFont="1" applyBorder="1" applyAlignment="1">
      <alignment horizontal="center" vertical="center" shrinkToFit="1"/>
    </xf>
    <xf numFmtId="168" fontId="15" fillId="0" borderId="18" xfId="0" applyNumberFormat="1" applyFont="1" applyBorder="1" applyAlignment="1">
      <alignment horizontal="left" vertical="center" wrapText="1" shrinkToFit="1"/>
    </xf>
    <xf numFmtId="168" fontId="15" fillId="0" borderId="0" xfId="0" applyNumberFormat="1" applyFont="1" applyAlignment="1">
      <alignment horizontal="left" vertical="center" wrapText="1" shrinkToFit="1"/>
    </xf>
    <xf numFmtId="168" fontId="15" fillId="0" borderId="19" xfId="0" applyNumberFormat="1" applyFont="1" applyBorder="1" applyAlignment="1">
      <alignment horizontal="left" vertical="center" wrapText="1" shrinkToFit="1"/>
    </xf>
    <xf numFmtId="168" fontId="15" fillId="0" borderId="23" xfId="0" applyNumberFormat="1" applyFont="1" applyBorder="1" applyAlignment="1">
      <alignment horizontal="left" vertical="center" wrapText="1" shrinkToFit="1"/>
    </xf>
    <xf numFmtId="168" fontId="15" fillId="0" borderId="21" xfId="0" applyNumberFormat="1" applyFont="1" applyBorder="1" applyAlignment="1">
      <alignment horizontal="left" vertical="center" wrapText="1" shrinkToFit="1"/>
    </xf>
    <xf numFmtId="168" fontId="15" fillId="0" borderId="24" xfId="0" applyNumberFormat="1" applyFont="1" applyBorder="1" applyAlignment="1">
      <alignment horizontal="left" vertical="center" wrapText="1" shrinkToFit="1"/>
    </xf>
  </cellXfs>
  <cellStyles count="3">
    <cellStyle name="Comma [0]" xfId="1" builtinId="6"/>
    <cellStyle name="Currency [0]" xfId="2" builtinId="7"/>
    <cellStyle name="Normal" xfId="0" builtinId="0"/>
  </cellStyles>
  <dxfs count="3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indexed="9"/>
      </font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gif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gif"/><Relationship Id="rId6" Type="http://schemas.openxmlformats.org/officeDocument/2006/relationships/image" Target="../media/image6.png"/><Relationship Id="rId11" Type="http://schemas.openxmlformats.org/officeDocument/2006/relationships/image" Target="../media/image11.gif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gif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png"/><Relationship Id="rId19" Type="http://schemas.openxmlformats.org/officeDocument/2006/relationships/image" Target="../media/image19.jpeg"/>
<Relationship Id="rId20" Type="http://schemas.openxmlformats.org/officeDocument/2006/relationships/image" Target="../media/image20.jpeg"/>
<Relationship Id="rId21" Type="http://schemas.openxmlformats.org/officeDocument/2006/relationships/image" Target="../media/image21.jpeg"/>
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110290</xdr:colOff>
      <xdr:row>3</xdr:row>
      <xdr:rowOff>20053</xdr:rowOff>
    </xdr:from>
    <xdr:to>
      <xdr:col>6</xdr:col>
      <xdr:colOff>408481</xdr:colOff>
      <xdr:row>4</xdr:row>
      <xdr:rowOff>74696</xdr:rowOff>
    </xdr:to>
    <xdr:pic>
      <xdr:nvPicPr>
        <xdr:cNvPr id="2" name="图片 1" descr="ando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377490" y="648703"/>
          <a:ext cx="298191" cy="245143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42</xdr:row>
      <xdr:rowOff>19050</xdr:rowOff>
    </xdr:from>
    <xdr:to>
      <xdr:col>0</xdr:col>
      <xdr:colOff>457201</xdr:colOff>
      <xdr:row>43</xdr:row>
      <xdr:rowOff>104775</xdr:rowOff>
    </xdr:to>
    <xdr:pic>
      <xdr:nvPicPr>
        <xdr:cNvPr id="4" name="Picture 3" descr="SUMITOMO CARBIDE - CBN - DIAMOND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9591675"/>
          <a:ext cx="41910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219076</xdr:colOff>
      <xdr:row>42</xdr:row>
      <xdr:rowOff>28575</xdr:rowOff>
    </xdr:from>
    <xdr:to>
      <xdr:col>2</xdr:col>
      <xdr:colOff>336690</xdr:colOff>
      <xdr:row>43</xdr:row>
      <xdr:rowOff>104775</xdr:rowOff>
    </xdr:to>
    <xdr:pic>
      <xdr:nvPicPr>
        <xdr:cNvPr id="5" name="Picture 4" descr="OKAZAKI Archives - JSR GROUP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1" y="9601200"/>
          <a:ext cx="727214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257176</xdr:colOff>
      <xdr:row>42</xdr:row>
      <xdr:rowOff>57151</xdr:rowOff>
    </xdr:from>
    <xdr:to>
      <xdr:col>3</xdr:col>
      <xdr:colOff>104775</xdr:colOff>
      <xdr:row>43</xdr:row>
      <xdr:rowOff>125068</xdr:rowOff>
    </xdr:to>
    <xdr:pic>
      <xdr:nvPicPr>
        <xdr:cNvPr id="6" name="Picture 5" descr="NTK Cutting ToolsIndonesia Industrial Part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6351" y="9629776"/>
          <a:ext cx="457199" cy="25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819150</xdr:colOff>
      <xdr:row>42</xdr:row>
      <xdr:rowOff>57151</xdr:rowOff>
    </xdr:from>
    <xdr:to>
      <xdr:col>3</xdr:col>
      <xdr:colOff>342900</xdr:colOff>
      <xdr:row>43</xdr:row>
      <xdr:rowOff>129779</xdr:rowOff>
    </xdr:to>
    <xdr:pic>
      <xdr:nvPicPr>
        <xdr:cNvPr id="7" name="Picture 6" descr="OSG USA, INC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4444"/>
        <a:stretch/>
      </xdr:blipFill>
      <xdr:spPr bwMode="auto">
        <a:xfrm>
          <a:off x="1838325" y="9629776"/>
          <a:ext cx="342900" cy="2631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1190625</xdr:colOff>
      <xdr:row>42</xdr:row>
      <xdr:rowOff>47625</xdr:rowOff>
    </xdr:from>
    <xdr:to>
      <xdr:col>3</xdr:col>
      <xdr:colOff>484928</xdr:colOff>
      <xdr:row>43</xdr:row>
      <xdr:rowOff>133350</xdr:rowOff>
    </xdr:to>
    <xdr:pic>
      <xdr:nvPicPr>
        <xdr:cNvPr id="8" name="Picture 7" descr="Tanoi – Angelo Ghezzi &amp; C Sp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800" y="9620250"/>
          <a:ext cx="484928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228600</xdr:colOff>
      <xdr:row>42</xdr:row>
      <xdr:rowOff>85726</xdr:rowOff>
    </xdr:from>
    <xdr:to>
      <xdr:col>5</xdr:col>
      <xdr:colOff>76200</xdr:colOff>
      <xdr:row>43</xdr:row>
      <xdr:rowOff>114300</xdr:rowOff>
    </xdr:to>
    <xdr:pic>
      <xdr:nvPicPr>
        <xdr:cNvPr id="9" name="Picture 8" descr="株式会社イワタツール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9658351"/>
          <a:ext cx="1066800" cy="219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133351</xdr:colOff>
      <xdr:row>43</xdr:row>
      <xdr:rowOff>161926</xdr:rowOff>
    </xdr:from>
    <xdr:to>
      <xdr:col>5</xdr:col>
      <xdr:colOff>76201</xdr:colOff>
      <xdr:row>45</xdr:row>
      <xdr:rowOff>26386</xdr:rowOff>
    </xdr:to>
    <xdr:pic>
      <xdr:nvPicPr>
        <xdr:cNvPr id="10" name="Picture 9" descr="二村機器株式会社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7951" y="9944101"/>
          <a:ext cx="1162050" cy="245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38101</xdr:colOff>
      <xdr:row>43</xdr:row>
      <xdr:rowOff>57150</xdr:rowOff>
    </xdr:from>
    <xdr:to>
      <xdr:col>0</xdr:col>
      <xdr:colOff>542925</xdr:colOff>
      <xdr:row>45</xdr:row>
      <xdr:rowOff>47625</xdr:rowOff>
    </xdr:to>
    <xdr:pic>
      <xdr:nvPicPr>
        <xdr:cNvPr id="11" name="Picture 10" descr="SMC Corporation of America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1" y="9839325"/>
          <a:ext cx="504824" cy="371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323851</xdr:colOff>
      <xdr:row>43</xdr:row>
      <xdr:rowOff>161926</xdr:rowOff>
    </xdr:from>
    <xdr:to>
      <xdr:col>2</xdr:col>
      <xdr:colOff>116245</xdr:colOff>
      <xdr:row>44</xdr:row>
      <xdr:rowOff>123826</xdr:rowOff>
    </xdr:to>
    <xdr:pic>
      <xdr:nvPicPr>
        <xdr:cNvPr id="12" name="Picture 11" descr="MRT Co.,Ltd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9944101"/>
          <a:ext cx="401994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1143000</xdr:colOff>
      <xdr:row>43</xdr:row>
      <xdr:rowOff>133350</xdr:rowOff>
    </xdr:from>
    <xdr:to>
      <xdr:col>3</xdr:col>
      <xdr:colOff>574481</xdr:colOff>
      <xdr:row>45</xdr:row>
      <xdr:rowOff>85725</xdr:rowOff>
    </xdr:to>
    <xdr:pic>
      <xdr:nvPicPr>
        <xdr:cNvPr id="13" name="Picture 12" descr="YUKIWA SEIKO INC.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62175" y="9915525"/>
          <a:ext cx="574481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28576</xdr:colOff>
      <xdr:row>43</xdr:row>
      <xdr:rowOff>104775</xdr:rowOff>
    </xdr:from>
    <xdr:to>
      <xdr:col>3</xdr:col>
      <xdr:colOff>398046</xdr:colOff>
      <xdr:row>45</xdr:row>
      <xdr:rowOff>19050</xdr:rowOff>
    </xdr:to>
    <xdr:pic>
      <xdr:nvPicPr>
        <xdr:cNvPr id="14" name="Picture 13" descr="株式会社ジーベックテクノロジー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1" y="9886950"/>
          <a:ext cx="97907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44</xdr:row>
      <xdr:rowOff>161926</xdr:rowOff>
    </xdr:from>
    <xdr:to>
      <xdr:col>0</xdr:col>
      <xdr:colOff>523875</xdr:colOff>
      <xdr:row>47</xdr:row>
      <xdr:rowOff>7252</xdr:rowOff>
    </xdr:to>
    <xdr:pic>
      <xdr:nvPicPr>
        <xdr:cNvPr id="15" name="Picture 14" descr="Nagoya Diamond | Bangkok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0153651"/>
          <a:ext cx="504825" cy="4168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219075</xdr:colOff>
      <xdr:row>44</xdr:row>
      <xdr:rowOff>209550</xdr:rowOff>
    </xdr:from>
    <xdr:to>
      <xdr:col>2</xdr:col>
      <xdr:colOff>448381</xdr:colOff>
      <xdr:row>46</xdr:row>
      <xdr:rowOff>85725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14350" y="10201275"/>
          <a:ext cx="838906" cy="276225"/>
        </a:xfrm>
        <a:prstGeom prst="rect">
          <a:avLst/>
        </a:prstGeom>
      </xdr:spPr>
    </xdr:pic>
    <xdr:clientData/>
  </xdr:twoCellAnchor>
  <xdr:twoCellAnchor editAs="oneCell">
    <xdr:from>
      <xdr:col>2</xdr:col>
      <xdr:colOff>333375</xdr:colOff>
      <xdr:row>44</xdr:row>
      <xdr:rowOff>198147</xdr:rowOff>
    </xdr:from>
    <xdr:to>
      <xdr:col>3</xdr:col>
      <xdr:colOff>514350</xdr:colOff>
      <xdr:row>46</xdr:row>
      <xdr:rowOff>123158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52550" y="10189872"/>
          <a:ext cx="790575" cy="315536"/>
        </a:xfrm>
        <a:prstGeom prst="rect">
          <a:avLst/>
        </a:prstGeom>
      </xdr:spPr>
    </xdr:pic>
    <xdr:clientData/>
  </xdr:twoCellAnchor>
  <xdr:twoCellAnchor editAs="oneCell">
    <xdr:from>
      <xdr:col>2</xdr:col>
      <xdr:colOff>1181971</xdr:colOff>
      <xdr:row>45</xdr:row>
      <xdr:rowOff>2</xdr:rowOff>
    </xdr:from>
    <xdr:to>
      <xdr:col>3</xdr:col>
      <xdr:colOff>406089</xdr:colOff>
      <xdr:row>46</xdr:row>
      <xdr:rowOff>57150</xdr:rowOff>
    </xdr:to>
    <xdr:pic>
      <xdr:nvPicPr>
        <xdr:cNvPr id="18" name="Picture 17" descr="TRUSCO PRO TOOL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1146" y="10229852"/>
          <a:ext cx="405218" cy="247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45</xdr:row>
      <xdr:rowOff>9525</xdr:rowOff>
    </xdr:from>
    <xdr:to>
      <xdr:col>3</xdr:col>
      <xdr:colOff>514349</xdr:colOff>
      <xdr:row>46</xdr:row>
      <xdr:rowOff>164427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14600" y="10239375"/>
          <a:ext cx="514349" cy="345402"/>
        </a:xfrm>
        <a:prstGeom prst="rect">
          <a:avLst/>
        </a:prstGeom>
      </xdr:spPr>
    </xdr:pic>
    <xdr:clientData/>
  </xdr:twoCellAnchor>
  <xdr:twoCellAnchor editAs="oneCell">
    <xdr:from>
      <xdr:col>3</xdr:col>
      <xdr:colOff>495301</xdr:colOff>
      <xdr:row>45</xdr:row>
      <xdr:rowOff>2</xdr:rowOff>
    </xdr:from>
    <xdr:to>
      <xdr:col>5</xdr:col>
      <xdr:colOff>79372</xdr:colOff>
      <xdr:row>46</xdr:row>
      <xdr:rowOff>66676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1" y="10229852"/>
          <a:ext cx="803271" cy="257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</xdr:colOff>
      <xdr:row>11</xdr:row>
      <xdr:rowOff>38100</xdr:rowOff>
    </xdr:from>
    <xdr:to>
      <xdr:col>10</xdr:col>
      <xdr:colOff>895350</xdr:colOff>
      <xdr:row>13</xdr:row>
      <xdr:rowOff>152400</xdr:rowOff>
    </xdr:to>
    <xdr:pic>
      <xdr:nvPicPr>
        <xdr:cNvPr id="119" name="Signature_Prepared"/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11</xdr:row>
      <xdr:rowOff>38100</xdr:rowOff>
    </xdr:from>
    <xdr:to>
      <xdr:col>10</xdr:col>
      <xdr:colOff>895350</xdr:colOff>
      <xdr:row>13</xdr:row>
      <xdr:rowOff>152400</xdr:rowOff>
    </xdr:to>
    <xdr:pic>
      <xdr:nvPicPr>
        <xdr:cNvPr id="120" name="Signature_120"/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11</xdr:row>
      <xdr:rowOff>38100</xdr:rowOff>
    </xdr:from>
    <xdr:to>
      <xdr:col>11</xdr:col>
      <xdr:colOff>895350</xdr:colOff>
      <xdr:row>13</xdr:row>
      <xdr:rowOff>152400</xdr:rowOff>
    </xdr:to>
    <xdr:pic>
      <xdr:nvPicPr>
        <xdr:cNvPr id="121" name="Signature_121"/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isyan/Project/QC-Assistance%20-%20AMTI/DEV/Web%20App/Backend/uploads/converted/PT%20AMTI&#12290;&#12290;Quotation%20Foam%20%20(11%25)%20(LOGO)%20%20RATE%20121_con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me"/>
      <sheetName val="gaisuan"/>
      <sheetName val="mitumori"/>
      <sheetName val="change1"/>
      <sheetName val="change2"/>
      <sheetName val="change3"/>
      <sheetName val="采购金额"/>
      <sheetName val="過去注文数"/>
      <sheetName val="消耗品マスタ"/>
    </sheetNames>
    <sheetDataSet>
      <sheetData sheetId="0">
        <row r="2">
          <cell r="A2">
            <v>1</v>
          </cell>
          <cell r="B2" t="str">
            <v>PT.PIOLAX INDONESIA</v>
          </cell>
          <cell r="C2" t="str">
            <v>(021) 29569411</v>
          </cell>
        </row>
        <row r="3">
          <cell r="A3">
            <v>2</v>
          </cell>
          <cell r="B3" t="str">
            <v>PT.OTICS　INDONESIA</v>
          </cell>
          <cell r="C3" t="str">
            <v>021-897-1701</v>
          </cell>
          <cell r="D3" t="str">
            <v>021-897-1706</v>
          </cell>
        </row>
        <row r="4">
          <cell r="A4">
            <v>3</v>
          </cell>
          <cell r="B4" t="str">
            <v>PT.KYOEI INDONESIA</v>
          </cell>
          <cell r="C4" t="str">
            <v>021-898-40139</v>
          </cell>
        </row>
        <row r="5">
          <cell r="A5">
            <v>4</v>
          </cell>
          <cell r="B5" t="str">
            <v>PT.SHIROKI　INDONESIA</v>
          </cell>
          <cell r="C5" t="str">
            <v>62-21-5055-4691</v>
          </cell>
          <cell r="D5" t="str">
            <v>62-21-5055-4693</v>
          </cell>
        </row>
        <row r="6">
          <cell r="A6">
            <v>5</v>
          </cell>
          <cell r="B6" t="str">
            <v>PT.KOBELCO TRADING INDONESIA</v>
          </cell>
          <cell r="C6" t="str">
            <v>62-21-572 4325</v>
          </cell>
          <cell r="D6" t="str">
            <v>62-21-572 4327</v>
          </cell>
        </row>
        <row r="7">
          <cell r="A7">
            <v>6</v>
          </cell>
          <cell r="B7" t="str">
            <v>PT.IDEMITSU LUBE TECHNO INDONESIA</v>
          </cell>
          <cell r="C7" t="str">
            <v>021-8911 4768</v>
          </cell>
          <cell r="D7" t="str">
            <v>021-8911 4769</v>
          </cell>
        </row>
        <row r="8">
          <cell r="A8">
            <v>7</v>
          </cell>
          <cell r="B8" t="str">
            <v>PT.YACHIYO TRIMITRA INDONESIA</v>
          </cell>
          <cell r="C8" t="str">
            <v>62-267-863-4069</v>
          </cell>
          <cell r="D8" t="str">
            <v>62-267-863-4070</v>
          </cell>
        </row>
        <row r="9">
          <cell r="A9">
            <v>8</v>
          </cell>
          <cell r="B9" t="str">
            <v>PT.TOYO DENSO INDONESIA</v>
          </cell>
          <cell r="C9" t="str">
            <v>(021) 89982626</v>
          </cell>
        </row>
        <row r="10">
          <cell r="A10">
            <v>9</v>
          </cell>
          <cell r="B10" t="str">
            <v xml:space="preserve">PT.ART PISTON INDONESIA </v>
          </cell>
          <cell r="C10" t="str">
            <v>021-2961-4021</v>
          </cell>
        </row>
        <row r="11">
          <cell r="A11">
            <v>10</v>
          </cell>
          <cell r="B11" t="str">
            <v>PT.ASAHI DENSO INDONESIA</v>
          </cell>
        </row>
        <row r="12">
          <cell r="A12">
            <v>11</v>
          </cell>
          <cell r="B12" t="str">
            <v>PT.TRIMITRA UNGGULAN SEJATI (TRUST)</v>
          </cell>
          <cell r="C12" t="str">
            <v>021-89384184</v>
          </cell>
        </row>
        <row r="13">
          <cell r="A13">
            <v>12</v>
          </cell>
          <cell r="B13" t="str">
            <v>PT.CALBEE WINGS FOOD</v>
          </cell>
          <cell r="C13" t="str">
            <v>0267-8402 140</v>
          </cell>
          <cell r="D13" t="str">
            <v>0267-8402</v>
          </cell>
        </row>
        <row r="14">
          <cell r="A14">
            <v>13</v>
          </cell>
          <cell r="B14" t="str">
            <v>PT.SELIM JAYA INDONESIA</v>
          </cell>
          <cell r="C14" t="str">
            <v>(021) 89109610</v>
          </cell>
        </row>
        <row r="15">
          <cell r="A15">
            <v>14</v>
          </cell>
          <cell r="B15" t="str">
            <v>PT.CHIYODA INDUSTRY INDONESIA</v>
          </cell>
          <cell r="C15" t="str">
            <v>(021) 28080258</v>
          </cell>
        </row>
        <row r="16">
          <cell r="A16">
            <v>15</v>
          </cell>
          <cell r="B16" t="str">
            <v>PT.PRATAMA JAYA TEKINDO</v>
          </cell>
        </row>
        <row r="17">
          <cell r="A17">
            <v>16</v>
          </cell>
          <cell r="B17" t="str">
            <v>PT.BUAH ANGKASA</v>
          </cell>
          <cell r="D17" t="str">
            <v>62-267-863 0430</v>
          </cell>
        </row>
        <row r="18">
          <cell r="A18">
            <v>17</v>
          </cell>
          <cell r="B18" t="str">
            <v xml:space="preserve">PT.FUJI SEIMITSU INDONESIA </v>
          </cell>
          <cell r="C18" t="str">
            <v>021-893-7340</v>
          </cell>
          <cell r="D18" t="str">
            <v>021-893-7305</v>
          </cell>
        </row>
        <row r="19">
          <cell r="A19">
            <v>18</v>
          </cell>
          <cell r="B19" t="str">
            <v>PT.MARUHACHI INDONESIA</v>
          </cell>
          <cell r="C19" t="str">
            <v>(021) 8974920</v>
          </cell>
        </row>
        <row r="20">
          <cell r="A20">
            <v>19</v>
          </cell>
          <cell r="B20" t="str">
            <v>PT.KANEMITSU SGS INDONESIA</v>
          </cell>
          <cell r="C20" t="str">
            <v>021-2851-8148</v>
          </cell>
          <cell r="D20" t="str">
            <v>021-2851-8150</v>
          </cell>
        </row>
        <row r="21">
          <cell r="A21">
            <v>20</v>
          </cell>
          <cell r="B21" t="str">
            <v xml:space="preserve">PT.IWATANI INDUSTRIAL GAS INDONESIA </v>
          </cell>
          <cell r="C21" t="str">
            <v xml:space="preserve">021-890 4310 , 0267-643 630 </v>
          </cell>
          <cell r="D21" t="str">
            <v>021-890 4372, 0264-643 637</v>
          </cell>
        </row>
        <row r="22">
          <cell r="A22">
            <v>21</v>
          </cell>
          <cell r="B22" t="str">
            <v>PT.U.TEC INDUSTRIES INDONESIA</v>
          </cell>
          <cell r="C22" t="str">
            <v>021-2947 2037</v>
          </cell>
          <cell r="D22" t="str">
            <v>021-2947 2038</v>
          </cell>
        </row>
        <row r="23">
          <cell r="A23">
            <v>22</v>
          </cell>
          <cell r="B23" t="str">
            <v>PT.TOKAI TOYOTA AUTO BODY EXTRUSION</v>
          </cell>
          <cell r="C23" t="str">
            <v>(021) 8980609</v>
          </cell>
        </row>
        <row r="24">
          <cell r="A24">
            <v>23</v>
          </cell>
          <cell r="B24" t="str">
            <v>PT.SUMIDEN HARDMETAL MANUFACTURING INDONESIA</v>
          </cell>
          <cell r="C24" t="str">
            <v>0267-863 4808</v>
          </cell>
          <cell r="D24" t="str">
            <v>0267-863 4809</v>
          </cell>
        </row>
        <row r="25">
          <cell r="A25">
            <v>24</v>
          </cell>
          <cell r="B25" t="str">
            <v>PT.ORIENTAL ASAHI JP CARTON BOX</v>
          </cell>
          <cell r="C25" t="str">
            <v>021-898-0503</v>
          </cell>
          <cell r="D25" t="str">
            <v>021-898-0409</v>
          </cell>
        </row>
        <row r="26">
          <cell r="A26">
            <v>25</v>
          </cell>
          <cell r="B26" t="str">
            <v xml:space="preserve">PT.INOAC POLYTECHNO INDONESIA </v>
          </cell>
        </row>
        <row r="27">
          <cell r="A27">
            <v>26</v>
          </cell>
          <cell r="B27" t="str">
            <v>PT.KOYAMA INDONESIA</v>
          </cell>
          <cell r="C27" t="str">
            <v>021 890 2535</v>
          </cell>
          <cell r="D27" t="str">
            <v>021 890 2536</v>
          </cell>
        </row>
        <row r="28">
          <cell r="A28">
            <v>27</v>
          </cell>
          <cell r="B28" t="str">
            <v>PT.WAY TECH INDONESIA</v>
          </cell>
          <cell r="C28" t="str">
            <v>021 – 89913579</v>
          </cell>
          <cell r="D28" t="str">
            <v xml:space="preserve">021 – 89913579 </v>
          </cell>
        </row>
        <row r="29">
          <cell r="A29">
            <v>28</v>
          </cell>
          <cell r="B29" t="str">
            <v>PT.KYORAKU BLOWMOLDING INDONESIA</v>
          </cell>
          <cell r="C29" t="str">
            <v>(021) 8905407</v>
          </cell>
          <cell r="D29" t="str">
            <v>021-3004 8167</v>
          </cell>
        </row>
        <row r="30">
          <cell r="A30">
            <v>29</v>
          </cell>
          <cell r="B30" t="str">
            <v>PT. SHOWA KATOU INDONESIA</v>
          </cell>
          <cell r="C30" t="str">
            <v>(0267)-863 7628 / (0267)-863 7629</v>
          </cell>
          <cell r="D30" t="str">
            <v>(0267)-863 7630</v>
          </cell>
        </row>
        <row r="31">
          <cell r="A31">
            <v>30</v>
          </cell>
          <cell r="B31" t="str">
            <v>PT.FUJI SEAT INDONESIA</v>
          </cell>
          <cell r="C31" t="str">
            <v>0267 8631 761</v>
          </cell>
          <cell r="D31" t="str">
            <v>0267 8631 763</v>
          </cell>
        </row>
        <row r="32">
          <cell r="A32">
            <v>31</v>
          </cell>
          <cell r="B32" t="str">
            <v>PT.DAIKIN INDUSTRIES INDONESIA</v>
          </cell>
        </row>
        <row r="33">
          <cell r="A33">
            <v>32</v>
          </cell>
          <cell r="B33" t="str">
            <v>PT.ASA SEO SEJAHTERA</v>
          </cell>
        </row>
        <row r="34">
          <cell r="A34">
            <v>33</v>
          </cell>
          <cell r="B34" t="str">
            <v>PT.KYOKUYO INDUSTRIAL INDONESIA</v>
          </cell>
          <cell r="C34" t="str">
            <v>021-5055-5336</v>
          </cell>
        </row>
        <row r="35">
          <cell r="A35">
            <v>34</v>
          </cell>
          <cell r="B35" t="str">
            <v>PT.SARAMBA SUGOI SOLUTION</v>
          </cell>
        </row>
        <row r="36">
          <cell r="A36">
            <v>35</v>
          </cell>
          <cell r="B36" t="str">
            <v xml:space="preserve">PT.KYOWA SANGYO INDONESIA INTERNATIONAL </v>
          </cell>
          <cell r="C36" t="str">
            <v>0267-8631-711</v>
          </cell>
          <cell r="D36" t="str">
            <v>0267-8631-696</v>
          </cell>
        </row>
        <row r="37">
          <cell r="A37">
            <v>36</v>
          </cell>
          <cell r="B37" t="str">
            <v xml:space="preserve">PT. HAYASHI SEIRA INDONESIA </v>
          </cell>
          <cell r="C37" t="str">
            <v>021-2851-7934</v>
          </cell>
          <cell r="D37" t="str">
            <v>021-2851-7935</v>
          </cell>
        </row>
        <row r="38">
          <cell r="A38">
            <v>37</v>
          </cell>
          <cell r="B38" t="str">
            <v>PT.ZAHIRA TEKNIK PERKASA</v>
          </cell>
          <cell r="C38" t="str">
            <v>021-8886-4732</v>
          </cell>
        </row>
        <row r="39">
          <cell r="A39">
            <v>38</v>
          </cell>
          <cell r="B39" t="str">
            <v>PT.PIGEON INDONESIA</v>
          </cell>
        </row>
        <row r="40">
          <cell r="A40">
            <v>39</v>
          </cell>
          <cell r="B40" t="str">
            <v>PT.NUSA DAYA ENGINEERING</v>
          </cell>
        </row>
        <row r="41">
          <cell r="A41">
            <v>40</v>
          </cell>
          <cell r="B41" t="str">
            <v xml:space="preserve">PT.UMEDA FACTORY INDONESIA </v>
          </cell>
          <cell r="C41" t="str">
            <v>021 8998 3942</v>
          </cell>
          <cell r="D41" t="str">
            <v>021 8998 3887</v>
          </cell>
        </row>
        <row r="42">
          <cell r="A42">
            <v>41</v>
          </cell>
          <cell r="B42" t="str">
            <v>PT.SHOWA AUTOPARTS INDONESIA</v>
          </cell>
          <cell r="C42" t="str">
            <v>021 3647 7387</v>
          </cell>
          <cell r="D42" t="str">
            <v>021 3647 7389</v>
          </cell>
        </row>
        <row r="43">
          <cell r="A43">
            <v>42</v>
          </cell>
          <cell r="B43" t="str">
            <v>PT.SANGO INDONESIA</v>
          </cell>
          <cell r="C43" t="str">
            <v>0267 8634 135</v>
          </cell>
        </row>
        <row r="44">
          <cell r="A44">
            <v>43</v>
          </cell>
          <cell r="B44" t="str">
            <v>PT.SANTAKU SHINWA INDONESIA</v>
          </cell>
          <cell r="C44" t="str">
            <v>(021) 29093162</v>
          </cell>
        </row>
        <row r="45">
          <cell r="A45">
            <v>44</v>
          </cell>
          <cell r="B45" t="str">
            <v>PT.UNICRAFT NAGURA INDONESIA</v>
          </cell>
          <cell r="C45" t="str">
            <v>021-22157242</v>
          </cell>
          <cell r="D45" t="str">
            <v>021-22157242</v>
          </cell>
        </row>
        <row r="46">
          <cell r="A46">
            <v>45</v>
          </cell>
          <cell r="B46" t="str">
            <v>CV.BARKA BANGUN SEJAHTERA</v>
          </cell>
        </row>
        <row r="47">
          <cell r="A47">
            <v>46</v>
          </cell>
          <cell r="B47" t="str">
            <v xml:space="preserve">PT.HITACHI CONSTRUCTION MACHINERY INDONESIA </v>
          </cell>
          <cell r="C47" t="str">
            <v>021-890-0515</v>
          </cell>
          <cell r="D47" t="str">
            <v>021-890-0517</v>
          </cell>
        </row>
        <row r="48">
          <cell r="A48">
            <v>47</v>
          </cell>
          <cell r="B48" t="str">
            <v xml:space="preserve">PT.IEC INDONESIA </v>
          </cell>
          <cell r="C48" t="str">
            <v>021-8261 5589</v>
          </cell>
        </row>
        <row r="49">
          <cell r="A49">
            <v>48</v>
          </cell>
          <cell r="B49" t="str">
            <v>PT.USUI INTERNATIONAL INDONESIA</v>
          </cell>
          <cell r="C49" t="str">
            <v>021 5055 5609</v>
          </cell>
          <cell r="D49" t="str">
            <v>021 5055 5610</v>
          </cell>
        </row>
        <row r="50">
          <cell r="A50">
            <v>49</v>
          </cell>
          <cell r="B50" t="str">
            <v>PT.NIPRO INDONSESIA JAYA</v>
          </cell>
          <cell r="C50" t="str">
            <v>(021) 89115160</v>
          </cell>
        </row>
        <row r="51">
          <cell r="A51">
            <v>50</v>
          </cell>
          <cell r="B51" t="str">
            <v>PT.NITIGURA INDONESIA</v>
          </cell>
          <cell r="C51" t="str">
            <v>021 5055 5634</v>
          </cell>
          <cell r="D51" t="str">
            <v>021 5055 5633</v>
          </cell>
        </row>
        <row r="52">
          <cell r="A52">
            <v>51</v>
          </cell>
          <cell r="B52" t="str">
            <v>PT.KANETA INDONESIA</v>
          </cell>
          <cell r="C52" t="str">
            <v>021-8911-1058</v>
          </cell>
          <cell r="D52" t="str">
            <v>021-8911-1057</v>
          </cell>
        </row>
        <row r="53">
          <cell r="A53">
            <v>52</v>
          </cell>
          <cell r="B53" t="str">
            <v>PT. GLICO WINGS</v>
          </cell>
          <cell r="C53" t="str">
            <v xml:space="preserve"> 0267 840 3960</v>
          </cell>
          <cell r="D53" t="str">
            <v>0267-863- 7560</v>
          </cell>
        </row>
        <row r="54">
          <cell r="A54">
            <v>53</v>
          </cell>
          <cell r="B54" t="str">
            <v>PT.TAKENAKA INDONESIA</v>
          </cell>
          <cell r="C54" t="str">
            <v>(021) 5735660</v>
          </cell>
        </row>
        <row r="55">
          <cell r="A55">
            <v>54</v>
          </cell>
          <cell r="B55" t="str">
            <v>PT.JHL INTERNASIONAL OTOMOTIF</v>
          </cell>
        </row>
        <row r="56">
          <cell r="A56">
            <v>55</v>
          </cell>
          <cell r="B56" t="str">
            <v>PT.CHUKYO SPRING INDONESIA</v>
          </cell>
        </row>
        <row r="57">
          <cell r="A57">
            <v>56</v>
          </cell>
          <cell r="B57" t="str">
            <v>PT.HAMATETSU INDONESIA</v>
          </cell>
          <cell r="C57" t="str">
            <v>021 890 1765</v>
          </cell>
          <cell r="D57" t="str">
            <v>021 890 1764</v>
          </cell>
        </row>
        <row r="58">
          <cell r="A58">
            <v>57</v>
          </cell>
          <cell r="B58" t="str">
            <v>PT.DEXTER WIKA SINERGI</v>
          </cell>
        </row>
        <row r="59">
          <cell r="A59">
            <v>58</v>
          </cell>
          <cell r="B59" t="str">
            <v>PT.MS MOLD INDONESIA</v>
          </cell>
          <cell r="C59" t="str">
            <v>021-5055-5590</v>
          </cell>
          <cell r="D59" t="str">
            <v>021-5055-5591</v>
          </cell>
        </row>
        <row r="60">
          <cell r="A60">
            <v>59</v>
          </cell>
          <cell r="B60" t="str">
            <v>PT.KOTERA INDONESIA</v>
          </cell>
        </row>
        <row r="61">
          <cell r="A61">
            <v>60</v>
          </cell>
          <cell r="B61" t="str">
            <v>PT.GLOBAL TRISTAR TEKNIK</v>
          </cell>
        </row>
        <row r="62">
          <cell r="A62">
            <v>61</v>
          </cell>
          <cell r="B62" t="str">
            <v xml:space="preserve">PT.GLICO MANUFACTURING INDONESIA </v>
          </cell>
          <cell r="C62" t="str">
            <v>021-898-40269</v>
          </cell>
          <cell r="D62" t="str">
            <v>021-898-40270</v>
          </cell>
        </row>
        <row r="63">
          <cell r="A63">
            <v>62</v>
          </cell>
          <cell r="B63" t="str">
            <v>PT.DAISHO PRECISION</v>
          </cell>
          <cell r="C63" t="str">
            <v>021-5055-4643</v>
          </cell>
          <cell r="D63" t="str">
            <v>021-5055-4673</v>
          </cell>
        </row>
        <row r="64">
          <cell r="A64">
            <v>63</v>
          </cell>
          <cell r="B64" t="str">
            <v>PT.HEKIKAI INDONESIA</v>
          </cell>
          <cell r="C64" t="str">
            <v>021-505 552 51</v>
          </cell>
          <cell r="D64" t="str">
            <v>021-304 254 16</v>
          </cell>
        </row>
        <row r="65">
          <cell r="A65">
            <v>64</v>
          </cell>
          <cell r="B65" t="str">
            <v xml:space="preserve">PT.MAKITECH SISTEM INDONESIA </v>
          </cell>
          <cell r="C65" t="str">
            <v>021-2851-8211</v>
          </cell>
          <cell r="D65" t="str">
            <v>021-2851-8213</v>
          </cell>
        </row>
        <row r="66">
          <cell r="A66">
            <v>65</v>
          </cell>
          <cell r="B66" t="str">
            <v>PT.NT INDONESIA</v>
          </cell>
          <cell r="C66" t="str">
            <v>021-2851-8066</v>
          </cell>
          <cell r="D66" t="str">
            <v>021-2851-8067</v>
          </cell>
        </row>
        <row r="67">
          <cell r="A67">
            <v>66</v>
          </cell>
          <cell r="B67" t="str">
            <v>PT.AUTOPLASTIK INDONESIA</v>
          </cell>
          <cell r="C67" t="str">
            <v>(0267) 8634072</v>
          </cell>
        </row>
        <row r="68">
          <cell r="A68">
            <v>67</v>
          </cell>
          <cell r="B68" t="str">
            <v>PT.FANUC INDONESIA</v>
          </cell>
          <cell r="C68" t="str">
            <v>021-4584-7285</v>
          </cell>
          <cell r="D68" t="str">
            <v>021-4584-7288</v>
          </cell>
        </row>
        <row r="69">
          <cell r="A69">
            <v>68</v>
          </cell>
          <cell r="B69" t="str">
            <v>PT.SOMIC INDONESIA</v>
          </cell>
          <cell r="C69" t="str">
            <v>021-5055-5636</v>
          </cell>
          <cell r="D69" t="str">
            <v>021-5055-5637</v>
          </cell>
        </row>
        <row r="70">
          <cell r="A70">
            <v>69</v>
          </cell>
          <cell r="B70" t="str">
            <v>PT.DENSO MANUFACTURING INDONESIA</v>
          </cell>
          <cell r="C70" t="str">
            <v>021-8981288</v>
          </cell>
        </row>
        <row r="71">
          <cell r="A71">
            <v>70</v>
          </cell>
          <cell r="B71" t="str">
            <v>PT.DAIDO SP INDONESIA</v>
          </cell>
        </row>
        <row r="72">
          <cell r="A72">
            <v>71</v>
          </cell>
          <cell r="B72" t="str">
            <v xml:space="preserve">PT.SARI TAKAGI ELOK PRODUK </v>
          </cell>
          <cell r="C72" t="str">
            <v>021-8937827</v>
          </cell>
          <cell r="D72" t="str">
            <v>021-8934213</v>
          </cell>
        </row>
        <row r="73">
          <cell r="A73">
            <v>72</v>
          </cell>
          <cell r="B73" t="str">
            <v>PT.KAWATA MARKETING INDONESIA</v>
          </cell>
          <cell r="C73" t="str">
            <v>021-5100-0021</v>
          </cell>
        </row>
        <row r="74">
          <cell r="A74">
            <v>73</v>
          </cell>
          <cell r="B74" t="str">
            <v>PT. TSUCHIYA MANUFACTURING INDONESIA</v>
          </cell>
          <cell r="C74" t="str">
            <v>021-8980050</v>
          </cell>
          <cell r="D74" t="str">
            <v>021-8980053</v>
          </cell>
        </row>
        <row r="75">
          <cell r="A75">
            <v>74</v>
          </cell>
          <cell r="B75" t="str">
            <v>PT. SYNERGY MULTI INDONESIA</v>
          </cell>
        </row>
        <row r="76">
          <cell r="A76">
            <v>75</v>
          </cell>
          <cell r="B76" t="str">
            <v>PT.TOYO INK INDONESIA</v>
          </cell>
          <cell r="C76" t="str">
            <v>021-2956 8040</v>
          </cell>
        </row>
        <row r="77">
          <cell r="A77">
            <v>76</v>
          </cell>
          <cell r="B77" t="str">
            <v xml:space="preserve">PT.MEDIA PENEUMATIC </v>
          </cell>
          <cell r="C77" t="str">
            <v>021-58358691</v>
          </cell>
          <cell r="D77" t="str">
            <v>021-58358692</v>
          </cell>
        </row>
        <row r="78">
          <cell r="A78">
            <v>77</v>
          </cell>
          <cell r="B78" t="str">
            <v>PT. Rohto Laboratories Indonesia</v>
          </cell>
        </row>
        <row r="79">
          <cell r="A79">
            <v>78</v>
          </cell>
          <cell r="B79" t="str">
            <v>PT.IDEMITSU LUBE INDONESIA</v>
          </cell>
          <cell r="C79" t="str">
            <v>(021) 80677800</v>
          </cell>
        </row>
        <row r="80">
          <cell r="A80">
            <v>79</v>
          </cell>
          <cell r="B80" t="str">
            <v>PT.YANMAR INDONESIA</v>
          </cell>
          <cell r="C80" t="str">
            <v>021-897-0701</v>
          </cell>
          <cell r="D80" t="str">
            <v>021-897-0066</v>
          </cell>
        </row>
        <row r="81">
          <cell r="A81">
            <v>80</v>
          </cell>
          <cell r="B81" t="str">
            <v>PT.SUGITY CREATIVES</v>
          </cell>
          <cell r="C81" t="str">
            <v>021-898-0307</v>
          </cell>
          <cell r="D81" t="str">
            <v>021-898-0270</v>
          </cell>
        </row>
        <row r="82">
          <cell r="A82">
            <v>81</v>
          </cell>
          <cell r="B82" t="str">
            <v>PT.MARUAI MANUFACTURE INDONESIA</v>
          </cell>
          <cell r="C82" t="str">
            <v>021-8997-0931</v>
          </cell>
          <cell r="D82" t="str">
            <v>021-8997-0932</v>
          </cell>
        </row>
        <row r="83">
          <cell r="A83">
            <v>82</v>
          </cell>
          <cell r="B83" t="str">
            <v>PT.NISSIN INDONESIA</v>
          </cell>
        </row>
        <row r="84">
          <cell r="A84">
            <v>83</v>
          </cell>
          <cell r="B84" t="str">
            <v>PT.SANKO LEGOS INDONESIA</v>
          </cell>
          <cell r="C84" t="str">
            <v>021-8945-4790</v>
          </cell>
        </row>
        <row r="85">
          <cell r="A85">
            <v>84</v>
          </cell>
          <cell r="B85" t="str">
            <v>PT.SAITAMA STAMPING INDONESIA</v>
          </cell>
          <cell r="C85" t="str">
            <v>021-8901505 - 06</v>
          </cell>
          <cell r="D85" t="str">
            <v>021-89114801</v>
          </cell>
        </row>
        <row r="86">
          <cell r="A86">
            <v>85</v>
          </cell>
          <cell r="B86" t="str">
            <v xml:space="preserve">PT.GLOBAL HIKARI INDONESIA </v>
          </cell>
        </row>
        <row r="87">
          <cell r="A87">
            <v>86</v>
          </cell>
          <cell r="B87" t="str">
            <v>PT.ADA SEJAHTERA</v>
          </cell>
        </row>
        <row r="88">
          <cell r="A88">
            <v>87</v>
          </cell>
          <cell r="B88" t="str">
            <v xml:space="preserve">PT.SUGIHARA GRAND AUTOMOTIVE </v>
          </cell>
        </row>
        <row r="89">
          <cell r="A89">
            <v>88</v>
          </cell>
          <cell r="B89" t="str">
            <v>PT.YAMATOGOMU INDONESIA</v>
          </cell>
          <cell r="C89" t="str">
            <v>0264-351216</v>
          </cell>
          <cell r="D89" t="str">
            <v>0264-351137</v>
          </cell>
        </row>
        <row r="90">
          <cell r="A90">
            <v>89</v>
          </cell>
          <cell r="B90" t="str">
            <v xml:space="preserve">PT.TRITONID SEJAHTERA MANDIRI </v>
          </cell>
        </row>
        <row r="91">
          <cell r="A91">
            <v>90</v>
          </cell>
          <cell r="B91" t="str">
            <v>PT.INDONESIA MS MOLD</v>
          </cell>
          <cell r="C91" t="str">
            <v>6221-2961-2123</v>
          </cell>
          <cell r="D91" t="str">
            <v>6221-2961-2124</v>
          </cell>
        </row>
        <row r="92">
          <cell r="A92">
            <v>91</v>
          </cell>
          <cell r="B92" t="str">
            <v>PT.HOKKAN DELTAPACK INDUSTRY</v>
          </cell>
        </row>
        <row r="93">
          <cell r="A93">
            <v>92</v>
          </cell>
          <cell r="B93" t="str">
            <v>PT.ARAYA STEEL TUBE INDONESIA</v>
          </cell>
        </row>
        <row r="94">
          <cell r="A94">
            <v>93</v>
          </cell>
          <cell r="B94" t="str">
            <v xml:space="preserve">PT.NAWASENA KARYA INDONESIA </v>
          </cell>
        </row>
        <row r="95">
          <cell r="A95">
            <v>94</v>
          </cell>
          <cell r="B95" t="str">
            <v>PT. OKAYA INDONESIA</v>
          </cell>
          <cell r="C95" t="str">
            <v>021-29093861</v>
          </cell>
        </row>
        <row r="96">
          <cell r="A96">
            <v>95</v>
          </cell>
          <cell r="B96" t="str">
            <v xml:space="preserve">PT.SUGIYAMA INDONESIA </v>
          </cell>
          <cell r="C96" t="str">
            <v>021-2130032962</v>
          </cell>
          <cell r="D96" t="str">
            <v>021-2130032964</v>
          </cell>
        </row>
        <row r="97">
          <cell r="A97">
            <v>96</v>
          </cell>
          <cell r="B97" t="str">
            <v>PT.MITSUBISHI MOTORS KRAMA YUDHA INDONESIA</v>
          </cell>
          <cell r="C97" t="str">
            <v>62 4891928</v>
          </cell>
        </row>
        <row r="98">
          <cell r="A98">
            <v>97</v>
          </cell>
          <cell r="B98" t="str">
            <v>PT.ASTRA DAIDO STEEL INDONESIA</v>
          </cell>
          <cell r="C98" t="str">
            <v>021-8997-3242</v>
          </cell>
          <cell r="D98" t="str">
            <v>021-8997-0518</v>
          </cell>
        </row>
        <row r="99">
          <cell r="A99">
            <v>98</v>
          </cell>
          <cell r="B99" t="str">
            <v>PT.INDONESIA MOLD TECHNOLOGY</v>
          </cell>
          <cell r="C99" t="str">
            <v>0267-8644-795</v>
          </cell>
          <cell r="D99" t="str">
            <v>0267-8644-794</v>
          </cell>
        </row>
        <row r="100">
          <cell r="A100">
            <v>99</v>
          </cell>
          <cell r="B100" t="str">
            <v>PT.NISSEIECO INDONESIA</v>
          </cell>
          <cell r="C100" t="str">
            <v>02678630433</v>
          </cell>
        </row>
        <row r="101">
          <cell r="A101">
            <v>100</v>
          </cell>
          <cell r="B101" t="str">
            <v>PT.TECS GLOBAL SINERGI INDONESIA</v>
          </cell>
        </row>
        <row r="102">
          <cell r="A102">
            <v>101</v>
          </cell>
          <cell r="B102" t="str">
            <v>PT.SANKI CRANES INDONESIA</v>
          </cell>
          <cell r="C102" t="str">
            <v>021-5055-4684</v>
          </cell>
          <cell r="D102" t="str">
            <v>021-5055-4686</v>
          </cell>
        </row>
        <row r="103">
          <cell r="A103">
            <v>102</v>
          </cell>
          <cell r="B103" t="str">
            <v xml:space="preserve">PT.JENTERA DINAMIKA ANDAL </v>
          </cell>
          <cell r="C103" t="str">
            <v>021-564 8188</v>
          </cell>
          <cell r="D103" t="str">
            <v>021-563 0037</v>
          </cell>
        </row>
        <row r="104">
          <cell r="A104">
            <v>103</v>
          </cell>
          <cell r="B104" t="str">
            <v>PT.PRECISION TOOLS SERVICE INDONESIA</v>
          </cell>
          <cell r="C104" t="str">
            <v>021-8984-4561</v>
          </cell>
          <cell r="D104" t="str">
            <v>081-8984-4562</v>
          </cell>
        </row>
        <row r="105">
          <cell r="A105">
            <v>104</v>
          </cell>
          <cell r="B105" t="str">
            <v>PT.KYOWA SYNCHRO TECHNOLOGY INDONESIA</v>
          </cell>
          <cell r="C105" t="str">
            <v>021-5055-5274</v>
          </cell>
          <cell r="D105" t="str">
            <v>021-5055-5276</v>
          </cell>
        </row>
        <row r="106">
          <cell r="A106">
            <v>105</v>
          </cell>
          <cell r="B106" t="str">
            <v>PT.SUMITOMO ELECTRIC HARDMETAL INDONESIA</v>
          </cell>
          <cell r="C106" t="str">
            <v>021-2956-8508</v>
          </cell>
          <cell r="D106" t="str">
            <v>021-2956-8509</v>
          </cell>
        </row>
        <row r="107">
          <cell r="A107">
            <v>106</v>
          </cell>
          <cell r="B107" t="str">
            <v>PT.INDOAGRI DAITOCACAO</v>
          </cell>
          <cell r="C107" t="str">
            <v>0896-9109 9976</v>
          </cell>
        </row>
        <row r="108">
          <cell r="A108">
            <v>107</v>
          </cell>
          <cell r="B108" t="str">
            <v>PT.FATIH SEJAHTERA HANDAYANI</v>
          </cell>
        </row>
        <row r="109">
          <cell r="A109">
            <v>108</v>
          </cell>
          <cell r="B109" t="str">
            <v>PT.MITSUBA AUTOMOTIVE PARTS INDONESIA</v>
          </cell>
          <cell r="C109" t="str">
            <v>0264-350-128~9</v>
          </cell>
          <cell r="D109" t="str">
            <v>0264-351-669</v>
          </cell>
        </row>
        <row r="110">
          <cell r="A110">
            <v>109</v>
          </cell>
          <cell r="B110" t="str">
            <v xml:space="preserve">PT.SINERGI JAYAMAS BERKAH </v>
          </cell>
        </row>
        <row r="111">
          <cell r="A111">
            <v>110</v>
          </cell>
          <cell r="B111" t="str">
            <v>PT.SANNOHASHI MANUFACTURING INDONESIA</v>
          </cell>
          <cell r="C111" t="str">
            <v>0267-8633084</v>
          </cell>
          <cell r="D111" t="str">
            <v>0267-8633085</v>
          </cell>
        </row>
        <row r="112">
          <cell r="A112">
            <v>111</v>
          </cell>
          <cell r="B112" t="str">
            <v xml:space="preserve">PT.ASAKE MACHINARY INDONESIA </v>
          </cell>
          <cell r="C112" t="str">
            <v>021-8991-2036</v>
          </cell>
          <cell r="D112" t="str">
            <v>021-2909-2372</v>
          </cell>
        </row>
        <row r="113">
          <cell r="A113">
            <v>112</v>
          </cell>
          <cell r="B113" t="str">
            <v>PT.AGUNG GRAHA MEKANIKA</v>
          </cell>
          <cell r="C113" t="str">
            <v>021-2215-7182</v>
          </cell>
          <cell r="D113" t="str">
            <v>021-2215-7182</v>
          </cell>
        </row>
        <row r="114">
          <cell r="A114">
            <v>113</v>
          </cell>
          <cell r="B114" t="str">
            <v xml:space="preserve">PT.YAMAZAKI INDONESIA </v>
          </cell>
          <cell r="C114" t="str">
            <v>021-8997-0826</v>
          </cell>
          <cell r="D114" t="str">
            <v>021-8997-0828</v>
          </cell>
        </row>
        <row r="115">
          <cell r="A115">
            <v>114</v>
          </cell>
          <cell r="B115" t="str">
            <v xml:space="preserve">PT.MARUHIDE INDONESIA </v>
          </cell>
          <cell r="C115" t="str">
            <v>021-5055-5253</v>
          </cell>
          <cell r="D115" t="str">
            <v>021-5055-5273</v>
          </cell>
        </row>
        <row r="116">
          <cell r="A116">
            <v>115</v>
          </cell>
          <cell r="B116" t="str">
            <v>CV.RAZA TEKNIK</v>
          </cell>
        </row>
        <row r="117">
          <cell r="A117">
            <v>116</v>
          </cell>
          <cell r="B117" t="str">
            <v>PT.ANUGRAH UTAMA TECHNIC</v>
          </cell>
        </row>
        <row r="118">
          <cell r="A118">
            <v>117</v>
          </cell>
          <cell r="B118" t="str">
            <v xml:space="preserve">CV.UMAR MAKMUR </v>
          </cell>
          <cell r="C118" t="str">
            <v>021-8998-2248</v>
          </cell>
        </row>
        <row r="119">
          <cell r="A119">
            <v>118</v>
          </cell>
          <cell r="B119" t="str">
            <v>PT.GOKO SPRING INDONESIA</v>
          </cell>
          <cell r="C119" t="str">
            <v>021-2808-5091</v>
          </cell>
        </row>
        <row r="120">
          <cell r="A120">
            <v>119</v>
          </cell>
          <cell r="B120" t="str">
            <v>PT.PANDU RODA ENGINEERING</v>
          </cell>
        </row>
        <row r="121">
          <cell r="A121">
            <v>120</v>
          </cell>
          <cell r="B121" t="str">
            <v>PT.SURYA GEMILANG ENGINEERING</v>
          </cell>
          <cell r="C121" t="str">
            <v>62-267 438 270</v>
          </cell>
          <cell r="D121" t="str">
            <v>62-267-436-727</v>
          </cell>
        </row>
        <row r="122">
          <cell r="A122">
            <v>121</v>
          </cell>
          <cell r="B122" t="str">
            <v>PT.NISSIN MANUFACTURING INDONESIA</v>
          </cell>
          <cell r="C122" t="str">
            <v>021-5055-4648</v>
          </cell>
          <cell r="D122" t="str">
            <v>021-5055-4650</v>
          </cell>
        </row>
        <row r="123">
          <cell r="A123">
            <v>122</v>
          </cell>
          <cell r="B123" t="str">
            <v>PT.KAWAI INDONESIA</v>
          </cell>
          <cell r="C123" t="str">
            <v>021-8910-8947</v>
          </cell>
          <cell r="D123" t="str">
            <v>021-8910-8948</v>
          </cell>
        </row>
        <row r="124">
          <cell r="A124">
            <v>123</v>
          </cell>
          <cell r="B124" t="str">
            <v>PT.MARUKA INDONESIA</v>
          </cell>
          <cell r="C124" t="str">
            <v>021-8891611, 8891612, 8855117</v>
          </cell>
          <cell r="D124" t="str">
            <v>021-8855118</v>
          </cell>
        </row>
        <row r="125">
          <cell r="A125">
            <v>124</v>
          </cell>
          <cell r="B125" t="str">
            <v>PT.MERAK MERAH PRATAMA</v>
          </cell>
        </row>
        <row r="126">
          <cell r="A126">
            <v>125</v>
          </cell>
          <cell r="B126" t="str">
            <v xml:space="preserve">PT.HANKEN INDONESIA </v>
          </cell>
        </row>
        <row r="127">
          <cell r="A127">
            <v>126</v>
          </cell>
          <cell r="B127" t="str">
            <v>PT.CENTURY BATTERIES INDONESIA</v>
          </cell>
          <cell r="C127" t="str">
            <v>021-4600-880</v>
          </cell>
          <cell r="D127" t="str">
            <v>021-4601-068</v>
          </cell>
        </row>
        <row r="128">
          <cell r="A128">
            <v>127</v>
          </cell>
          <cell r="B128" t="str">
            <v>PT.BELLSONICA INDONESIA</v>
          </cell>
          <cell r="C128" t="str">
            <v>021 5055 5304</v>
          </cell>
          <cell r="D128" t="str">
            <v>021 5055 5304</v>
          </cell>
        </row>
        <row r="129">
          <cell r="A129">
            <v>128</v>
          </cell>
          <cell r="B129" t="str">
            <v>PT.INDRAGRAHA NUSAPLASINDO</v>
          </cell>
          <cell r="C129" t="str">
            <v>021-632-8228</v>
          </cell>
          <cell r="D129" t="str">
            <v>021-632-8227</v>
          </cell>
        </row>
        <row r="130">
          <cell r="A130">
            <v>129</v>
          </cell>
          <cell r="B130" t="str">
            <v xml:space="preserve">PT.AZ TECS INDONESIA </v>
          </cell>
          <cell r="C130" t="str">
            <v>021-89834279</v>
          </cell>
          <cell r="D130" t="str">
            <v>021-89834280</v>
          </cell>
        </row>
        <row r="131">
          <cell r="A131">
            <v>130</v>
          </cell>
          <cell r="B131" t="str">
            <v>PT.INDONESIA INTERNATIONAL AUTOMOTIVE PROVING GROUND (IIAPG)</v>
          </cell>
        </row>
        <row r="132">
          <cell r="A132">
            <v>131</v>
          </cell>
          <cell r="B132" t="str">
            <v xml:space="preserve">PT. MEIRA MANUFACTURING INDONESIA </v>
          </cell>
          <cell r="C132" t="str">
            <v>0267-840-4969</v>
          </cell>
        </row>
        <row r="133">
          <cell r="A133">
            <v>132</v>
          </cell>
          <cell r="B133" t="str">
            <v>PT.EXIST TOOLSINDO</v>
          </cell>
          <cell r="C133" t="str">
            <v>021-3647-9678</v>
          </cell>
          <cell r="D133" t="str">
            <v>021-2909-3909</v>
          </cell>
        </row>
        <row r="134">
          <cell r="A134">
            <v>133</v>
          </cell>
          <cell r="B134" t="str">
            <v>PT. TAKITA MANUFACTURING INDONESIA</v>
          </cell>
          <cell r="C134" t="str">
            <v>62-21 8973378</v>
          </cell>
          <cell r="D134" t="str">
            <v>62-21 8974460</v>
          </cell>
        </row>
        <row r="135">
          <cell r="A135">
            <v>134</v>
          </cell>
          <cell r="B135" t="str">
            <v>PT.SHINKOH INDONESIA</v>
          </cell>
          <cell r="C135" t="str">
            <v>(021) 89844454</v>
          </cell>
        </row>
        <row r="136">
          <cell r="A136">
            <v>135</v>
          </cell>
          <cell r="B136" t="str">
            <v xml:space="preserve">PT.KITADA ATAKA INDONESIA </v>
          </cell>
          <cell r="C136" t="str">
            <v>021-2945 3816</v>
          </cell>
          <cell r="D136" t="str">
            <v>021-2945 3815</v>
          </cell>
        </row>
        <row r="137">
          <cell r="A137">
            <v>136</v>
          </cell>
          <cell r="B137" t="str">
            <v xml:space="preserve">PT.KYG TOOLING INDONESIA </v>
          </cell>
          <cell r="C137" t="str">
            <v>021-8984-1266</v>
          </cell>
          <cell r="D137" t="str">
            <v>021-8984-1265</v>
          </cell>
        </row>
        <row r="138">
          <cell r="A138">
            <v>137</v>
          </cell>
          <cell r="B138" t="str">
            <v>PT.ASTRA OTOPARTS TBK</v>
          </cell>
          <cell r="C138" t="str">
            <v>021-8257-8888</v>
          </cell>
        </row>
        <row r="139">
          <cell r="A139">
            <v>138</v>
          </cell>
          <cell r="B139" t="str">
            <v xml:space="preserve">PT.ASTRA DAIHATSU MOTOR </v>
          </cell>
          <cell r="C139" t="str">
            <v>021-8911-4030</v>
          </cell>
          <cell r="D139" t="str">
            <v>021-8911-4031</v>
          </cell>
        </row>
        <row r="140">
          <cell r="A140">
            <v>139</v>
          </cell>
          <cell r="B140" t="str">
            <v xml:space="preserve">PT.PUTRA INA KARYA </v>
          </cell>
          <cell r="C140" t="str">
            <v>021-8937315</v>
          </cell>
          <cell r="D140" t="str">
            <v>021-8937316</v>
          </cell>
        </row>
        <row r="141">
          <cell r="A141">
            <v>140</v>
          </cell>
          <cell r="B141" t="str">
            <v xml:space="preserve">PT.DAIHO INDONESIA </v>
          </cell>
        </row>
        <row r="142">
          <cell r="A142">
            <v>141</v>
          </cell>
          <cell r="B142" t="str">
            <v xml:space="preserve">PT.KYOUEI DENKI </v>
          </cell>
        </row>
        <row r="143">
          <cell r="A143">
            <v>142</v>
          </cell>
          <cell r="B143" t="str">
            <v>PT.MUGAI INDONESIA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</sheetData>
      <sheetData sheetId="1">
        <row r="11">
          <cell r="K11" t="str">
            <v>1900010000</v>
          </cell>
        </row>
        <row r="14">
          <cell r="W14">
            <v>1</v>
          </cell>
          <cell r="AE14">
            <v>-1</v>
          </cell>
        </row>
        <row r="15">
          <cell r="W15">
            <v>1</v>
          </cell>
          <cell r="AE15">
            <v>-1</v>
          </cell>
        </row>
        <row r="16">
          <cell r="W16">
            <v>1</v>
          </cell>
          <cell r="AE16">
            <v>-1</v>
          </cell>
        </row>
        <row r="17">
          <cell r="W17">
            <v>1</v>
          </cell>
          <cell r="AE17">
            <v>-1</v>
          </cell>
        </row>
        <row r="18">
          <cell r="W18">
            <v>1</v>
          </cell>
          <cell r="AE18">
            <v>-1</v>
          </cell>
        </row>
        <row r="19">
          <cell r="W19">
            <v>1</v>
          </cell>
          <cell r="AE19">
            <v>-1</v>
          </cell>
        </row>
        <row r="20">
          <cell r="W20">
            <v>1</v>
          </cell>
          <cell r="AE20">
            <v>-1</v>
          </cell>
        </row>
        <row r="21">
          <cell r="W21">
            <v>1</v>
          </cell>
          <cell r="AE21">
            <v>-1</v>
          </cell>
        </row>
        <row r="22">
          <cell r="W22">
            <v>1</v>
          </cell>
          <cell r="AE22">
            <v>-1</v>
          </cell>
        </row>
        <row r="23">
          <cell r="W23">
            <v>1</v>
          </cell>
          <cell r="AE23">
            <v>-1</v>
          </cell>
        </row>
        <row r="24">
          <cell r="W24">
            <v>1</v>
          </cell>
          <cell r="AE24">
            <v>-1</v>
          </cell>
        </row>
        <row r="25">
          <cell r="W25">
            <v>1</v>
          </cell>
          <cell r="AE25">
            <v>-1</v>
          </cell>
        </row>
        <row r="26">
          <cell r="W26">
            <v>1</v>
          </cell>
          <cell r="AE26">
            <v>-1</v>
          </cell>
        </row>
        <row r="27">
          <cell r="W27">
            <v>1</v>
          </cell>
          <cell r="AE27">
            <v>-1</v>
          </cell>
        </row>
        <row r="28">
          <cell r="W28">
            <v>1</v>
          </cell>
          <cell r="AE28">
            <v>-1</v>
          </cell>
        </row>
        <row r="29">
          <cell r="W29">
            <v>1</v>
          </cell>
          <cell r="AE29">
            <v>-1</v>
          </cell>
        </row>
        <row r="30">
          <cell r="W30">
            <v>1</v>
          </cell>
          <cell r="AE30">
            <v>-1</v>
          </cell>
        </row>
        <row r="31">
          <cell r="W31">
            <v>1</v>
          </cell>
          <cell r="AE31">
            <v>-1</v>
          </cell>
        </row>
        <row r="32">
          <cell r="W32">
            <v>1</v>
          </cell>
          <cell r="AE32">
            <v>-1</v>
          </cell>
        </row>
        <row r="33">
          <cell r="W33">
            <v>1</v>
          </cell>
          <cell r="AE33">
            <v>-1</v>
          </cell>
        </row>
        <row r="34">
          <cell r="W34">
            <v>1</v>
          </cell>
          <cell r="AE34">
            <v>-1</v>
          </cell>
        </row>
        <row r="35">
          <cell r="W35">
            <v>1</v>
          </cell>
          <cell r="AE35">
            <v>-1</v>
          </cell>
        </row>
        <row r="36">
          <cell r="W36">
            <v>1</v>
          </cell>
          <cell r="AE36">
            <v>-1</v>
          </cell>
        </row>
        <row r="37">
          <cell r="W37">
            <v>1</v>
          </cell>
          <cell r="AE37">
            <v>-1</v>
          </cell>
        </row>
        <row r="38">
          <cell r="W38">
            <v>1</v>
          </cell>
          <cell r="AE38">
            <v>-1</v>
          </cell>
        </row>
        <row r="39">
          <cell r="W39">
            <v>1</v>
          </cell>
          <cell r="AE39">
            <v>-1</v>
          </cell>
        </row>
        <row r="40">
          <cell r="W40">
            <v>1</v>
          </cell>
          <cell r="AE40">
            <v>-1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1DBDD-8112-4053-9B62-7EEB142D14AC}">
  <dimension ref="A1:M47"/>
  <sheetViews>
    <sheetView tabSelected="1" topLeftCell="A4" workbookViewId="0">
      <selection activeCell="P15" sqref="P15"/>
    </sheetView>
  </sheetViews>
  <sheetFormatPr defaultRowHeight="15"/>
  <cols>
    <col min="9" max="9" width="9.5703125" bestFit="1" customWidth="1"/>
    <col min="10" max="10" width="10" bestFit="1" customWidth="1"/>
    <col min="13" max="13" width="10" bestFit="1" customWidth="1"/>
  </cols>
  <sheetData>
    <row r="1" spans="1:13" ht="23.25">
      <c r="A1" s="41" t="s">
        <v>0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</row>
    <row r="2" spans="1:13">
      <c r="A2" s="1"/>
      <c r="B2" s="1"/>
      <c r="C2" s="1"/>
      <c r="D2" s="1"/>
      <c r="E2" s="1"/>
      <c r="F2" s="1"/>
      <c r="G2" s="1"/>
      <c r="H2" s="2"/>
      <c r="I2" s="2"/>
      <c r="J2" s="2"/>
      <c r="K2" s="1"/>
      <c r="L2" s="1"/>
      <c r="M2" s="1"/>
    </row>
    <row r="3" spans="1:13">
      <c r="A3" s="42" t="s">
        <v>1</v>
      </c>
      <c r="B3" s="42"/>
      <c r="C3" s="3" t="e">
        <f>LOOKUP([1]gaisuan!V6,[1]name!$A$2:$A$400,[1]name!B2:B143)</f>
        <v>#N/A</v>
      </c>
      <c r="D3" s="1"/>
      <c r="E3" s="1"/>
      <c r="F3" s="1"/>
      <c r="G3" s="1"/>
      <c r="H3" s="2"/>
      <c r="I3" s="43" t="str">
        <f>[1]gaisuan!K11</f>
        <v>1900010000</v>
      </c>
      <c r="J3" s="43"/>
      <c r="K3" s="43"/>
      <c r="L3" s="4">
        <f>[1]gaisuan!K10</f>
        <v>0</v>
      </c>
      <c r="M3" s="5" t="s">
        <v>2</v>
      </c>
    </row>
    <row r="4" spans="1:13" ht="18">
      <c r="A4" s="42" t="s">
        <v>3</v>
      </c>
      <c r="B4" s="42"/>
      <c r="C4" s="3">
        <f>[1]gaisuan!V10</f>
        <v>0</v>
      </c>
      <c r="D4" s="6"/>
      <c r="E4" s="7"/>
      <c r="F4" s="1"/>
      <c r="G4" s="1"/>
      <c r="H4" s="8" t="s">
        <v>4</v>
      </c>
      <c r="I4" s="9"/>
      <c r="J4" s="10"/>
      <c r="K4" s="11"/>
      <c r="L4" s="11"/>
      <c r="M4" s="11"/>
    </row>
    <row r="5" spans="1:13" ht="18">
      <c r="A5" s="44" t="s">
        <v>5</v>
      </c>
      <c r="B5" s="44"/>
      <c r="C5" s="12" t="e">
        <f>LOOKUP([1]gaisuan!V6,[1]name!$A$2:$A$122,[1]name!C2:C143)</f>
        <v>#N/A</v>
      </c>
      <c r="D5" s="6"/>
      <c r="E5" s="13"/>
      <c r="F5" s="1"/>
      <c r="G5" s="1"/>
      <c r="H5" s="11"/>
      <c r="I5" s="9"/>
      <c r="J5" s="11"/>
      <c r="K5" s="11"/>
      <c r="L5" s="11"/>
      <c r="M5" s="11"/>
    </row>
    <row r="6" spans="1:13" ht="18">
      <c r="A6" s="44" t="s">
        <v>6</v>
      </c>
      <c r="B6" s="44"/>
      <c r="C6" s="14" t="e">
        <f>LOOKUP([1]gaisuan!V6,[1]name!$A$2:$A$122,[1]name!D2:D143)</f>
        <v>#N/A</v>
      </c>
      <c r="D6" s="15"/>
      <c r="E6" s="7"/>
      <c r="F6" s="1"/>
      <c r="G6" s="1"/>
      <c r="H6" s="11" t="s">
        <v>7</v>
      </c>
      <c r="I6" s="9"/>
      <c r="J6" s="9"/>
      <c r="K6" s="11"/>
      <c r="L6" s="11"/>
      <c r="M6" s="11"/>
    </row>
    <row r="7" spans="1:13" ht="18">
      <c r="A7" s="44"/>
      <c r="B7" s="44"/>
      <c r="C7" s="1"/>
      <c r="D7" s="16"/>
      <c r="E7" s="1"/>
      <c r="F7" s="1"/>
      <c r="G7" s="1"/>
      <c r="H7" s="11" t="s">
        <v>8</v>
      </c>
      <c r="I7" s="9"/>
      <c r="J7" s="9"/>
      <c r="K7" s="17"/>
      <c r="L7" s="17"/>
      <c r="M7" s="11"/>
    </row>
    <row r="8" spans="1:13" ht="18">
      <c r="A8" s="40" t="s">
        <v>9</v>
      </c>
      <c r="B8" s="40"/>
      <c r="C8" s="45">
        <f>H45</f>
        <v>0</v>
      </c>
      <c r="D8" s="45"/>
      <c r="E8" s="1"/>
      <c r="F8" s="1"/>
      <c r="G8" s="1"/>
      <c r="H8" s="18" t="s">
        <v>10</v>
      </c>
      <c r="I8" s="19"/>
      <c r="J8" s="19"/>
      <c r="K8" s="18"/>
      <c r="L8" s="18"/>
      <c r="M8" s="18"/>
    </row>
    <row r="9" spans="1:13">
      <c r="A9" s="40" t="s">
        <v>11</v>
      </c>
      <c r="B9" s="40"/>
      <c r="C9" s="20" t="s">
        <v>12</v>
      </c>
      <c r="D9" s="1"/>
      <c r="E9" s="1"/>
      <c r="F9" s="1"/>
      <c r="G9" s="1"/>
      <c r="H9" s="18" t="s">
        <v>13</v>
      </c>
      <c r="I9" s="19"/>
      <c r="J9" s="19"/>
      <c r="K9" s="21"/>
      <c r="L9" s="21"/>
      <c r="M9" s="21"/>
    </row>
    <row r="10" spans="1:13">
      <c r="A10" s="40" t="s">
        <v>14</v>
      </c>
      <c r="B10" s="40"/>
      <c r="C10" s="22">
        <f>[1]gaisuan!K6</f>
        <v>0</v>
      </c>
      <c r="D10" s="1"/>
      <c r="E10" s="1"/>
      <c r="F10" s="1"/>
      <c r="G10" s="1"/>
      <c r="H10" s="9"/>
      <c r="I10" s="9"/>
      <c r="J10" s="23"/>
      <c r="K10" s="23"/>
      <c r="L10" s="23"/>
      <c r="M10" s="23"/>
    </row>
    <row r="11" spans="1:13">
      <c r="A11" s="40" t="s">
        <v>15</v>
      </c>
      <c r="B11" s="40"/>
      <c r="C11" s="24" t="s">
        <v>16</v>
      </c>
      <c r="D11" s="1"/>
      <c r="E11" s="1"/>
      <c r="F11" s="1"/>
      <c r="G11" s="1"/>
      <c r="K11" s="39" t="s">
        <v>34</v>
      </c>
      <c r="L11" s="39" t="s">
        <v>35</v>
      </c>
      <c r="M11" s="39" t="s">
        <v>36</v>
      </c>
    </row>
    <row r="12" spans="1:13">
      <c r="A12" s="40" t="s">
        <v>17</v>
      </c>
      <c r="B12" s="40"/>
      <c r="C12" s="25" t="s">
        <v>18</v>
      </c>
      <c r="D12" s="1"/>
      <c r="E12" s="1"/>
      <c r="F12" s="1"/>
      <c r="G12" s="1"/>
      <c r="H12" s="2"/>
      <c r="I12" s="2"/>
      <c r="J12" s="26"/>
      <c r="K12" s="52"/>
      <c r="L12" s="52"/>
      <c r="M12" s="52"/>
    </row>
    <row r="13" spans="1:13">
      <c r="A13" s="40" t="s">
        <v>19</v>
      </c>
      <c r="B13" s="40"/>
      <c r="C13" s="25" t="s">
        <v>20</v>
      </c>
      <c r="D13" s="1"/>
      <c r="E13" s="1"/>
      <c r="F13" s="1"/>
      <c r="G13" s="1"/>
      <c r="H13" s="2"/>
      <c r="I13" s="2"/>
      <c r="J13" s="26"/>
      <c r="K13" s="52"/>
      <c r="L13" s="52"/>
      <c r="M13" s="52"/>
    </row>
    <row r="14" spans="1:13" ht="15.75" thickBot="1">
      <c r="A14" s="1"/>
      <c r="B14" s="1"/>
      <c r="C14" s="1"/>
      <c r="D14" s="1"/>
      <c r="E14" s="1"/>
      <c r="F14" s="1"/>
      <c r="G14" s="1"/>
      <c r="H14" s="2"/>
      <c r="I14" s="2"/>
      <c r="J14" s="26"/>
      <c r="K14" s="53"/>
      <c r="L14" s="53"/>
      <c r="M14" s="53"/>
    </row>
    <row r="15" spans="1:13" ht="36.75" thickBot="1">
      <c r="A15" s="27" t="s">
        <v>21</v>
      </c>
      <c r="B15" s="46" t="s">
        <v>22</v>
      </c>
      <c r="C15" s="46"/>
      <c r="D15" s="28" t="s">
        <v>23</v>
      </c>
      <c r="E15" s="28" t="s">
        <v>24</v>
      </c>
      <c r="F15" s="29" t="s">
        <v>25</v>
      </c>
      <c r="G15" s="29" t="s">
        <v>26</v>
      </c>
      <c r="H15" s="30" t="s">
        <v>27</v>
      </c>
      <c r="I15" s="30" t="s">
        <v>28</v>
      </c>
      <c r="J15" s="47" t="s">
        <v>29</v>
      </c>
      <c r="K15" s="47"/>
      <c r="L15" s="47"/>
      <c r="M15" s="48"/>
    </row>
    <row r="16" spans="1:13">
      <c r="A16" s="31">
        <v>1</v>
      </c>
      <c r="B16" s="49">
        <f>[1]gaisuan!F14</f>
        <v>0</v>
      </c>
      <c r="C16" s="49"/>
      <c r="D16" s="32">
        <f>[1]gaisuan!G14</f>
        <v>0</v>
      </c>
      <c r="E16" s="33">
        <f>[1]gaisuan!H14</f>
        <v>0</v>
      </c>
      <c r="F16" s="32">
        <f>IF([1]gaisuan!W14=100%,0)+IF([1]gaisuan!W14&lt;100%,[1]gaisuan!I14)</f>
        <v>0</v>
      </c>
      <c r="G16" s="32">
        <f>[1]gaisuan!J14</f>
        <v>0</v>
      </c>
      <c r="H16" s="34">
        <f>IF(B16&gt;0,[1]gaisuan!AE14)+IF(B16=0,0)</f>
        <v>0</v>
      </c>
      <c r="I16" s="34">
        <f>H16*F16</f>
        <v>0</v>
      </c>
      <c r="J16" s="50"/>
      <c r="K16" s="49"/>
      <c r="L16" s="49"/>
      <c r="M16" s="51"/>
    </row>
    <row r="17" spans="1:13">
      <c r="A17" s="35">
        <v>2</v>
      </c>
      <c r="B17" s="54">
        <f>[1]gaisuan!F15</f>
        <v>0</v>
      </c>
      <c r="C17" s="54"/>
      <c r="D17" s="36">
        <f>[1]gaisuan!G15</f>
        <v>0</v>
      </c>
      <c r="E17" s="37">
        <f>[1]gaisuan!H15</f>
        <v>0</v>
      </c>
      <c r="F17" s="36">
        <f>IF([1]gaisuan!W15=100%,0)+IF([1]gaisuan!W15&lt;100%,[1]gaisuan!I15)</f>
        <v>0</v>
      </c>
      <c r="G17" s="36">
        <f>[1]gaisuan!J15</f>
        <v>0</v>
      </c>
      <c r="H17" s="38">
        <f>IF(B17&gt;0,[1]gaisuan!AE15)+IF(B17=0,0)</f>
        <v>0</v>
      </c>
      <c r="I17" s="38">
        <f t="shared" ref="I17:I42" si="0">H17*F17</f>
        <v>0</v>
      </c>
      <c r="J17" s="55"/>
      <c r="K17" s="56"/>
      <c r="L17" s="56"/>
      <c r="M17" s="57"/>
    </row>
    <row r="18" spans="1:13">
      <c r="A18" s="35">
        <v>3</v>
      </c>
      <c r="B18" s="54">
        <f>[1]gaisuan!F16</f>
        <v>0</v>
      </c>
      <c r="C18" s="54"/>
      <c r="D18" s="36">
        <f>[1]gaisuan!G16</f>
        <v>0</v>
      </c>
      <c r="E18" s="37">
        <f>[1]gaisuan!H16</f>
        <v>0</v>
      </c>
      <c r="F18" s="36">
        <f>IF([1]gaisuan!W16=100%,0)+IF([1]gaisuan!W16&lt;100%,[1]gaisuan!I16)</f>
        <v>0</v>
      </c>
      <c r="G18" s="36">
        <f>[1]gaisuan!J16</f>
        <v>0</v>
      </c>
      <c r="H18" s="38">
        <f>IF(B18&gt;0,[1]gaisuan!AE16)+IF(B18=0,0)</f>
        <v>0</v>
      </c>
      <c r="I18" s="38">
        <f t="shared" si="0"/>
        <v>0</v>
      </c>
      <c r="J18" s="55"/>
      <c r="K18" s="56"/>
      <c r="L18" s="56"/>
      <c r="M18" s="57"/>
    </row>
    <row r="19" spans="1:13">
      <c r="A19" s="35">
        <v>4</v>
      </c>
      <c r="B19" s="54">
        <f>[1]gaisuan!F17</f>
        <v>0</v>
      </c>
      <c r="C19" s="54"/>
      <c r="D19" s="36">
        <f>[1]gaisuan!G17</f>
        <v>0</v>
      </c>
      <c r="E19" s="37">
        <f>[1]gaisuan!H17</f>
        <v>0</v>
      </c>
      <c r="F19" s="36">
        <f>IF([1]gaisuan!W17=100%,0)+IF([1]gaisuan!W17&lt;100%,[1]gaisuan!I17)</f>
        <v>0</v>
      </c>
      <c r="G19" s="36">
        <f>[1]gaisuan!J17</f>
        <v>0</v>
      </c>
      <c r="H19" s="38">
        <f>IF(B19&gt;0,[1]gaisuan!AE17)+IF(B19=0,0)</f>
        <v>0</v>
      </c>
      <c r="I19" s="38">
        <f t="shared" si="0"/>
        <v>0</v>
      </c>
      <c r="J19" s="58"/>
      <c r="K19" s="59"/>
      <c r="L19" s="59"/>
      <c r="M19" s="60"/>
    </row>
    <row r="20" spans="1:13">
      <c r="A20" s="35">
        <v>5</v>
      </c>
      <c r="B20" s="54">
        <f>[1]gaisuan!F18</f>
        <v>0</v>
      </c>
      <c r="C20" s="54"/>
      <c r="D20" s="36">
        <f>[1]gaisuan!G18</f>
        <v>0</v>
      </c>
      <c r="E20" s="37">
        <f>[1]gaisuan!H18</f>
        <v>0</v>
      </c>
      <c r="F20" s="36">
        <f>IF([1]gaisuan!W18=100%,0)+IF([1]gaisuan!W18&lt;100%,[1]gaisuan!I18)</f>
        <v>0</v>
      </c>
      <c r="G20" s="36">
        <f>[1]gaisuan!J18</f>
        <v>0</v>
      </c>
      <c r="H20" s="38">
        <f>IF(B20&gt;0,[1]gaisuan!AE18)+IF(B20=0,0)</f>
        <v>0</v>
      </c>
      <c r="I20" s="38">
        <f t="shared" si="0"/>
        <v>0</v>
      </c>
      <c r="J20" s="58"/>
      <c r="K20" s="59"/>
      <c r="L20" s="59"/>
      <c r="M20" s="60"/>
    </row>
    <row r="21" spans="1:13">
      <c r="A21" s="35">
        <v>6</v>
      </c>
      <c r="B21" s="54">
        <f>[1]gaisuan!F19</f>
        <v>0</v>
      </c>
      <c r="C21" s="54"/>
      <c r="D21" s="36">
        <f>[1]gaisuan!G19</f>
        <v>0</v>
      </c>
      <c r="E21" s="37">
        <f>[1]gaisuan!H19</f>
        <v>0</v>
      </c>
      <c r="F21" s="36">
        <f>IF([1]gaisuan!W19=100%,0)+IF([1]gaisuan!W19&lt;100%,[1]gaisuan!I19)</f>
        <v>0</v>
      </c>
      <c r="G21" s="36">
        <f>[1]gaisuan!J19</f>
        <v>0</v>
      </c>
      <c r="H21" s="38">
        <f>IF(B21&gt;0,[1]gaisuan!AE19)+IF(B21=0,0)</f>
        <v>0</v>
      </c>
      <c r="I21" s="38">
        <f t="shared" si="0"/>
        <v>0</v>
      </c>
      <c r="J21" s="58"/>
      <c r="K21" s="59"/>
      <c r="L21" s="59"/>
      <c r="M21" s="60"/>
    </row>
    <row r="22" spans="1:13">
      <c r="A22" s="35">
        <v>7</v>
      </c>
      <c r="B22" s="54">
        <f>[1]gaisuan!F20</f>
        <v>0</v>
      </c>
      <c r="C22" s="54"/>
      <c r="D22" s="36">
        <f>[1]gaisuan!G20</f>
        <v>0</v>
      </c>
      <c r="E22" s="37">
        <f>[1]gaisuan!H20</f>
        <v>0</v>
      </c>
      <c r="F22" s="36">
        <f>IF([1]gaisuan!W20=100%,0)+IF([1]gaisuan!W20&lt;100%,[1]gaisuan!I20)</f>
        <v>0</v>
      </c>
      <c r="G22" s="36">
        <f>[1]gaisuan!J20</f>
        <v>0</v>
      </c>
      <c r="H22" s="38">
        <f>IF(B22&gt;0,[1]gaisuan!AE20)+IF(B22=0,0)</f>
        <v>0</v>
      </c>
      <c r="I22" s="38">
        <f t="shared" si="0"/>
        <v>0</v>
      </c>
      <c r="J22" s="61"/>
      <c r="K22" s="54"/>
      <c r="L22" s="54"/>
      <c r="M22" s="62"/>
    </row>
    <row r="23" spans="1:13">
      <c r="A23" s="35">
        <v>8</v>
      </c>
      <c r="B23" s="54">
        <f>[1]gaisuan!F21</f>
        <v>0</v>
      </c>
      <c r="C23" s="54"/>
      <c r="D23" s="36">
        <f>[1]gaisuan!G21</f>
        <v>0</v>
      </c>
      <c r="E23" s="37">
        <f>[1]gaisuan!H21</f>
        <v>0</v>
      </c>
      <c r="F23" s="36">
        <f>IF([1]gaisuan!W21=100%,0)+IF([1]gaisuan!W21&lt;100%,[1]gaisuan!I21)</f>
        <v>0</v>
      </c>
      <c r="G23" s="36">
        <f>[1]gaisuan!J21</f>
        <v>0</v>
      </c>
      <c r="H23" s="38">
        <f>IF(B23&gt;0,[1]gaisuan!AE21)+IF(B23=0,0)</f>
        <v>0</v>
      </c>
      <c r="I23" s="38">
        <f t="shared" si="0"/>
        <v>0</v>
      </c>
      <c r="J23" s="61"/>
      <c r="K23" s="54"/>
      <c r="L23" s="54"/>
      <c r="M23" s="62"/>
    </row>
    <row r="24" spans="1:13">
      <c r="A24" s="35">
        <v>9</v>
      </c>
      <c r="B24" s="54">
        <f>[1]gaisuan!F22</f>
        <v>0</v>
      </c>
      <c r="C24" s="54"/>
      <c r="D24" s="36">
        <f>[1]gaisuan!G22</f>
        <v>0</v>
      </c>
      <c r="E24" s="37">
        <f>[1]gaisuan!H22</f>
        <v>0</v>
      </c>
      <c r="F24" s="36">
        <f>IF([1]gaisuan!W22=100%,0)+IF([1]gaisuan!W22&lt;100%,[1]gaisuan!I22)</f>
        <v>0</v>
      </c>
      <c r="G24" s="36">
        <f>[1]gaisuan!J22</f>
        <v>0</v>
      </c>
      <c r="H24" s="38">
        <f>IF(B24&gt;0,[1]gaisuan!AE22)+IF(B24=0,0)</f>
        <v>0</v>
      </c>
      <c r="I24" s="38">
        <f t="shared" si="0"/>
        <v>0</v>
      </c>
      <c r="J24" s="61"/>
      <c r="K24" s="54"/>
      <c r="L24" s="54"/>
      <c r="M24" s="62"/>
    </row>
    <row r="25" spans="1:13">
      <c r="A25" s="35">
        <v>10</v>
      </c>
      <c r="B25" s="54">
        <f>[1]gaisuan!F23</f>
        <v>0</v>
      </c>
      <c r="C25" s="54"/>
      <c r="D25" s="36">
        <f>[1]gaisuan!G23</f>
        <v>0</v>
      </c>
      <c r="E25" s="37">
        <f>[1]gaisuan!H23</f>
        <v>0</v>
      </c>
      <c r="F25" s="36">
        <f>IF([1]gaisuan!W23=100%,0)+IF([1]gaisuan!W23&lt;100%,[1]gaisuan!I23)</f>
        <v>0</v>
      </c>
      <c r="G25" s="36">
        <f>[1]gaisuan!J23</f>
        <v>0</v>
      </c>
      <c r="H25" s="38">
        <f>IF(B25&gt;0,[1]gaisuan!AE23)+IF(B25=0,0)</f>
        <v>0</v>
      </c>
      <c r="I25" s="38">
        <f t="shared" si="0"/>
        <v>0</v>
      </c>
      <c r="J25" s="63"/>
      <c r="K25" s="54"/>
      <c r="L25" s="54"/>
      <c r="M25" s="62"/>
    </row>
    <row r="26" spans="1:13">
      <c r="A26" s="35">
        <v>11</v>
      </c>
      <c r="B26" s="54">
        <f>[1]gaisuan!F24</f>
        <v>0</v>
      </c>
      <c r="C26" s="54"/>
      <c r="D26" s="36">
        <f>[1]gaisuan!G24</f>
        <v>0</v>
      </c>
      <c r="E26" s="37">
        <f>[1]gaisuan!H24</f>
        <v>0</v>
      </c>
      <c r="F26" s="36">
        <f>IF([1]gaisuan!W24=100%,0)+IF([1]gaisuan!W24&lt;100%,[1]gaisuan!I24)</f>
        <v>0</v>
      </c>
      <c r="G26" s="36">
        <f>[1]gaisuan!J24</f>
        <v>0</v>
      </c>
      <c r="H26" s="38">
        <f>IF(B26&gt;0,[1]gaisuan!AE24)+IF(B26=0,0)</f>
        <v>0</v>
      </c>
      <c r="I26" s="38">
        <f t="shared" si="0"/>
        <v>0</v>
      </c>
      <c r="J26" s="61"/>
      <c r="K26" s="54"/>
      <c r="L26" s="54"/>
      <c r="M26" s="62"/>
    </row>
    <row r="27" spans="1:13">
      <c r="A27" s="35">
        <v>12</v>
      </c>
      <c r="B27" s="54">
        <f>[1]gaisuan!F25</f>
        <v>0</v>
      </c>
      <c r="C27" s="54"/>
      <c r="D27" s="36">
        <f>[1]gaisuan!G25</f>
        <v>0</v>
      </c>
      <c r="E27" s="37">
        <f>[1]gaisuan!H25</f>
        <v>0</v>
      </c>
      <c r="F27" s="36">
        <f>IF([1]gaisuan!W25=100%,0)+IF([1]gaisuan!W25&lt;100%,[1]gaisuan!I25)</f>
        <v>0</v>
      </c>
      <c r="G27" s="36">
        <f>[1]gaisuan!J25</f>
        <v>0</v>
      </c>
      <c r="H27" s="38">
        <f>IF(B27&gt;0,[1]gaisuan!AE25)+IF(B27=0,0)</f>
        <v>0</v>
      </c>
      <c r="I27" s="38">
        <f t="shared" si="0"/>
        <v>0</v>
      </c>
      <c r="J27" s="58"/>
      <c r="K27" s="59"/>
      <c r="L27" s="59"/>
      <c r="M27" s="60"/>
    </row>
    <row r="28" spans="1:13">
      <c r="A28" s="35">
        <v>13</v>
      </c>
      <c r="B28" s="54">
        <f>[1]gaisuan!F26</f>
        <v>0</v>
      </c>
      <c r="C28" s="54"/>
      <c r="D28" s="36">
        <f>[1]gaisuan!G26</f>
        <v>0</v>
      </c>
      <c r="E28" s="37">
        <f>[1]gaisuan!H26</f>
        <v>0</v>
      </c>
      <c r="F28" s="36">
        <f>IF([1]gaisuan!W26=100%,0)+IF([1]gaisuan!W26&lt;100%,[1]gaisuan!I26)</f>
        <v>0</v>
      </c>
      <c r="G28" s="36">
        <f>[1]gaisuan!J26</f>
        <v>0</v>
      </c>
      <c r="H28" s="38">
        <f>IF(B28&gt;0,[1]gaisuan!AE26)+IF(B28=0,0)</f>
        <v>0</v>
      </c>
      <c r="I28" s="38">
        <f t="shared" si="0"/>
        <v>0</v>
      </c>
      <c r="J28" s="61"/>
      <c r="K28" s="54"/>
      <c r="L28" s="54"/>
      <c r="M28" s="62"/>
    </row>
    <row r="29" spans="1:13">
      <c r="A29" s="35">
        <v>14</v>
      </c>
      <c r="B29" s="54">
        <f>[1]gaisuan!F27</f>
        <v>0</v>
      </c>
      <c r="C29" s="54"/>
      <c r="D29" s="36">
        <f>[1]gaisuan!G27</f>
        <v>0</v>
      </c>
      <c r="E29" s="37">
        <f>[1]gaisuan!H27</f>
        <v>0</v>
      </c>
      <c r="F29" s="36">
        <f>IF([1]gaisuan!W27=100%,0)+IF([1]gaisuan!W27&lt;100%,[1]gaisuan!I27)</f>
        <v>0</v>
      </c>
      <c r="G29" s="36">
        <f>[1]gaisuan!J27</f>
        <v>0</v>
      </c>
      <c r="H29" s="38">
        <f>IF(B29&gt;0,[1]gaisuan!AE27)+IF(B29=0,0)</f>
        <v>0</v>
      </c>
      <c r="I29" s="38">
        <f t="shared" si="0"/>
        <v>0</v>
      </c>
      <c r="J29" s="61"/>
      <c r="K29" s="54"/>
      <c r="L29" s="54"/>
      <c r="M29" s="62"/>
    </row>
    <row r="30" spans="1:13">
      <c r="A30" s="35">
        <v>15</v>
      </c>
      <c r="B30" s="54">
        <f>[1]gaisuan!F28</f>
        <v>0</v>
      </c>
      <c r="C30" s="54"/>
      <c r="D30" s="36">
        <f>[1]gaisuan!G28</f>
        <v>0</v>
      </c>
      <c r="E30" s="37">
        <f>[1]gaisuan!H28</f>
        <v>0</v>
      </c>
      <c r="F30" s="36">
        <f>IF([1]gaisuan!W28=100%,0)+IF([1]gaisuan!W28&lt;100%,[1]gaisuan!I28)</f>
        <v>0</v>
      </c>
      <c r="G30" s="36">
        <f>[1]gaisuan!J28</f>
        <v>0</v>
      </c>
      <c r="H30" s="38">
        <f>IF(B30&gt;0,[1]gaisuan!AE28)+IF(B30=0,0)</f>
        <v>0</v>
      </c>
      <c r="I30" s="38">
        <f t="shared" si="0"/>
        <v>0</v>
      </c>
      <c r="J30" s="61"/>
      <c r="K30" s="54"/>
      <c r="L30" s="54"/>
      <c r="M30" s="62"/>
    </row>
    <row r="31" spans="1:13">
      <c r="A31" s="35">
        <v>16</v>
      </c>
      <c r="B31" s="54">
        <f>[1]gaisuan!F29</f>
        <v>0</v>
      </c>
      <c r="C31" s="54"/>
      <c r="D31" s="36">
        <f>[1]gaisuan!G29</f>
        <v>0</v>
      </c>
      <c r="E31" s="37">
        <f>[1]gaisuan!H29</f>
        <v>0</v>
      </c>
      <c r="F31" s="36">
        <f>IF([1]gaisuan!W29=100%,0)+IF([1]gaisuan!W29&lt;100%,[1]gaisuan!I29)</f>
        <v>0</v>
      </c>
      <c r="G31" s="36">
        <f>[1]gaisuan!J29</f>
        <v>0</v>
      </c>
      <c r="H31" s="38">
        <f>IF(B31&gt;0,[1]gaisuan!AE29)+IF(B31=0,0)</f>
        <v>0</v>
      </c>
      <c r="I31" s="38">
        <f t="shared" si="0"/>
        <v>0</v>
      </c>
      <c r="J31" s="61"/>
      <c r="K31" s="64"/>
      <c r="L31" s="64"/>
      <c r="M31" s="65"/>
    </row>
    <row r="32" spans="1:13">
      <c r="A32" s="35">
        <v>17</v>
      </c>
      <c r="B32" s="54">
        <f>[1]gaisuan!F30</f>
        <v>0</v>
      </c>
      <c r="C32" s="54"/>
      <c r="D32" s="36">
        <f>[1]gaisuan!G30</f>
        <v>0</v>
      </c>
      <c r="E32" s="37">
        <f>[1]gaisuan!H30</f>
        <v>0</v>
      </c>
      <c r="F32" s="36">
        <f>IF([1]gaisuan!W30=100%,0)+IF([1]gaisuan!W30&lt;100%,[1]gaisuan!I30)</f>
        <v>0</v>
      </c>
      <c r="G32" s="36">
        <f>[1]gaisuan!J30</f>
        <v>0</v>
      </c>
      <c r="H32" s="38">
        <f>IF(B32&gt;0,[1]gaisuan!AE30)+IF(B32=0,0)</f>
        <v>0</v>
      </c>
      <c r="I32" s="38">
        <f t="shared" si="0"/>
        <v>0</v>
      </c>
      <c r="J32" s="66"/>
      <c r="K32" s="64"/>
      <c r="L32" s="64"/>
      <c r="M32" s="65"/>
    </row>
    <row r="33" spans="1:13">
      <c r="A33" s="35">
        <v>18</v>
      </c>
      <c r="B33" s="54">
        <f>[1]gaisuan!F31</f>
        <v>0</v>
      </c>
      <c r="C33" s="54"/>
      <c r="D33" s="36">
        <f>[1]gaisuan!G31</f>
        <v>0</v>
      </c>
      <c r="E33" s="37">
        <f>[1]gaisuan!H31</f>
        <v>0</v>
      </c>
      <c r="F33" s="36">
        <f>IF([1]gaisuan!W31=100%,0)+IF([1]gaisuan!W31&lt;100%,[1]gaisuan!I31)</f>
        <v>0</v>
      </c>
      <c r="G33" s="36">
        <f>[1]gaisuan!J31</f>
        <v>0</v>
      </c>
      <c r="H33" s="38">
        <f>IF(B33&gt;0,[1]gaisuan!AE31)+IF(B33=0,0)</f>
        <v>0</v>
      </c>
      <c r="I33" s="38">
        <f t="shared" si="0"/>
        <v>0</v>
      </c>
      <c r="J33" s="61"/>
      <c r="K33" s="54"/>
      <c r="L33" s="54"/>
      <c r="M33" s="62"/>
    </row>
    <row r="34" spans="1:13">
      <c r="A34" s="35">
        <v>19</v>
      </c>
      <c r="B34" s="54">
        <f>[1]gaisuan!F32</f>
        <v>0</v>
      </c>
      <c r="C34" s="54"/>
      <c r="D34" s="36">
        <f>[1]gaisuan!G32</f>
        <v>0</v>
      </c>
      <c r="E34" s="37">
        <f>[1]gaisuan!H32</f>
        <v>0</v>
      </c>
      <c r="F34" s="36">
        <f>IF([1]gaisuan!W32=100%,0)+IF([1]gaisuan!W32&lt;100%,[1]gaisuan!I32)</f>
        <v>0</v>
      </c>
      <c r="G34" s="36">
        <f>[1]gaisuan!J32</f>
        <v>0</v>
      </c>
      <c r="H34" s="38">
        <f>IF(B34&gt;0,[1]gaisuan!AE32)+IF(B34=0,0)</f>
        <v>0</v>
      </c>
      <c r="I34" s="38">
        <f t="shared" si="0"/>
        <v>0</v>
      </c>
      <c r="J34" s="67"/>
      <c r="K34" s="64"/>
      <c r="L34" s="64"/>
      <c r="M34" s="65"/>
    </row>
    <row r="35" spans="1:13">
      <c r="A35" s="35">
        <v>20</v>
      </c>
      <c r="B35" s="54">
        <f>[1]gaisuan!F33</f>
        <v>0</v>
      </c>
      <c r="C35" s="54"/>
      <c r="D35" s="36">
        <f>[1]gaisuan!G33</f>
        <v>0</v>
      </c>
      <c r="E35" s="37">
        <f>[1]gaisuan!H33</f>
        <v>0</v>
      </c>
      <c r="F35" s="36">
        <f>IF([1]gaisuan!W33=100%,0)+IF([1]gaisuan!W33&lt;100%,[1]gaisuan!I33)</f>
        <v>0</v>
      </c>
      <c r="G35" s="36">
        <f>[1]gaisuan!J33</f>
        <v>0</v>
      </c>
      <c r="H35" s="38">
        <f>IF(B35&gt;0,[1]gaisuan!AE33)+IF(B35=0,0)</f>
        <v>0</v>
      </c>
      <c r="I35" s="38">
        <f t="shared" si="0"/>
        <v>0</v>
      </c>
      <c r="J35" s="61"/>
      <c r="K35" s="54"/>
      <c r="L35" s="54"/>
      <c r="M35" s="62"/>
    </row>
    <row r="36" spans="1:13">
      <c r="A36" s="35">
        <v>21</v>
      </c>
      <c r="B36" s="64">
        <f>[1]gaisuan!F34</f>
        <v>0</v>
      </c>
      <c r="C36" s="64"/>
      <c r="D36" s="36">
        <f>[1]gaisuan!G34</f>
        <v>0</v>
      </c>
      <c r="E36" s="37">
        <f>[1]gaisuan!H34</f>
        <v>0</v>
      </c>
      <c r="F36" s="36">
        <f>IF([1]gaisuan!W34=100%,0)+IF([1]gaisuan!W34&lt;100%,[1]gaisuan!I34)</f>
        <v>0</v>
      </c>
      <c r="G36" s="36">
        <f>[1]gaisuan!J34</f>
        <v>0</v>
      </c>
      <c r="H36" s="38">
        <f>IF(B36&gt;0,[1]gaisuan!AE34)+IF(B36=0,0)</f>
        <v>0</v>
      </c>
      <c r="I36" s="38">
        <f t="shared" si="0"/>
        <v>0</v>
      </c>
      <c r="J36" s="54"/>
      <c r="K36" s="54"/>
      <c r="L36" s="54"/>
      <c r="M36" s="62"/>
    </row>
    <row r="37" spans="1:13">
      <c r="A37" s="35">
        <v>22</v>
      </c>
      <c r="B37" s="54">
        <f>[1]gaisuan!F35</f>
        <v>0</v>
      </c>
      <c r="C37" s="54"/>
      <c r="D37" s="36">
        <f>[1]gaisuan!G35</f>
        <v>0</v>
      </c>
      <c r="E37" s="37">
        <f>[1]gaisuan!H35</f>
        <v>0</v>
      </c>
      <c r="F37" s="36">
        <f>IF([1]gaisuan!W35=100%,0)+IF([1]gaisuan!W35&lt;100%,[1]gaisuan!I35)</f>
        <v>0</v>
      </c>
      <c r="G37" s="36">
        <f>[1]gaisuan!J35</f>
        <v>0</v>
      </c>
      <c r="H37" s="38">
        <f>IF(B37&gt;0,[1]gaisuan!AE35)+IF(B37=0,0)</f>
        <v>0</v>
      </c>
      <c r="I37" s="38">
        <f t="shared" si="0"/>
        <v>0</v>
      </c>
      <c r="J37" s="61"/>
      <c r="K37" s="54"/>
      <c r="L37" s="54"/>
      <c r="M37" s="62"/>
    </row>
    <row r="38" spans="1:13">
      <c r="A38" s="35">
        <v>23</v>
      </c>
      <c r="B38" s="54">
        <f>[1]gaisuan!F36</f>
        <v>0</v>
      </c>
      <c r="C38" s="54"/>
      <c r="D38" s="36">
        <f>[1]gaisuan!G36</f>
        <v>0</v>
      </c>
      <c r="E38" s="37">
        <f>[1]gaisuan!H36</f>
        <v>0</v>
      </c>
      <c r="F38" s="36">
        <f>IF([1]gaisuan!W36=100%,0)+IF([1]gaisuan!W36&lt;100%,[1]gaisuan!I36)</f>
        <v>0</v>
      </c>
      <c r="G38" s="36">
        <f>[1]gaisuan!J36</f>
        <v>0</v>
      </c>
      <c r="H38" s="38">
        <f>IF(B38&gt;0,[1]gaisuan!AE36)+IF(B38=0,0)</f>
        <v>0</v>
      </c>
      <c r="I38" s="38">
        <f t="shared" si="0"/>
        <v>0</v>
      </c>
      <c r="J38" s="61"/>
      <c r="K38" s="54"/>
      <c r="L38" s="54"/>
      <c r="M38" s="62"/>
    </row>
    <row r="39" spans="1:13">
      <c r="A39" s="35">
        <v>24</v>
      </c>
      <c r="B39" s="54">
        <f>[1]gaisuan!F37</f>
        <v>0</v>
      </c>
      <c r="C39" s="54"/>
      <c r="D39" s="36">
        <f>[1]gaisuan!G37</f>
        <v>0</v>
      </c>
      <c r="E39" s="37">
        <f>[1]gaisuan!H37</f>
        <v>0</v>
      </c>
      <c r="F39" s="36">
        <f>IF([1]gaisuan!W37=100%,0)+IF([1]gaisuan!W37&lt;100%,[1]gaisuan!I37)</f>
        <v>0</v>
      </c>
      <c r="G39" s="36">
        <f>[1]gaisuan!J37</f>
        <v>0</v>
      </c>
      <c r="H39" s="38">
        <f>IF(B39&gt;0,[1]gaisuan!AE37)+IF(B39=0,0)</f>
        <v>0</v>
      </c>
      <c r="I39" s="38">
        <f t="shared" si="0"/>
        <v>0</v>
      </c>
      <c r="J39" s="61"/>
      <c r="K39" s="54"/>
      <c r="L39" s="54"/>
      <c r="M39" s="62"/>
    </row>
    <row r="40" spans="1:13">
      <c r="A40" s="35">
        <v>25</v>
      </c>
      <c r="B40" s="54">
        <f>[1]gaisuan!F38</f>
        <v>0</v>
      </c>
      <c r="C40" s="54"/>
      <c r="D40" s="36">
        <f>[1]gaisuan!G38</f>
        <v>0</v>
      </c>
      <c r="E40" s="37">
        <f>[1]gaisuan!H38</f>
        <v>0</v>
      </c>
      <c r="F40" s="36">
        <f>IF([1]gaisuan!W38=100%,0)+IF([1]gaisuan!W38&lt;100%,[1]gaisuan!I38)</f>
        <v>0</v>
      </c>
      <c r="G40" s="36">
        <f>[1]gaisuan!J38</f>
        <v>0</v>
      </c>
      <c r="H40" s="38">
        <f>IF(B40&gt;0,[1]gaisuan!AE38)+IF(B40=0,0)</f>
        <v>0</v>
      </c>
      <c r="I40" s="38">
        <f t="shared" si="0"/>
        <v>0</v>
      </c>
      <c r="J40" s="61"/>
      <c r="K40" s="54"/>
      <c r="L40" s="54"/>
      <c r="M40" s="62"/>
    </row>
    <row r="41" spans="1:13">
      <c r="A41" s="35">
        <v>26</v>
      </c>
      <c r="B41" s="54">
        <f>[1]gaisuan!F39</f>
        <v>0</v>
      </c>
      <c r="C41" s="54"/>
      <c r="D41" s="36">
        <f>[1]gaisuan!G39</f>
        <v>0</v>
      </c>
      <c r="E41" s="37">
        <f>[1]gaisuan!H39</f>
        <v>0</v>
      </c>
      <c r="F41" s="36">
        <f>IF([1]gaisuan!W39=100%,0)+IF([1]gaisuan!W39&lt;100%,[1]gaisuan!I39)</f>
        <v>0</v>
      </c>
      <c r="G41" s="36">
        <f>[1]gaisuan!J39</f>
        <v>0</v>
      </c>
      <c r="H41" s="38">
        <f>IF(B41&gt;0,[1]gaisuan!AE39)+IF(B41=0,0)</f>
        <v>0</v>
      </c>
      <c r="I41" s="38">
        <f t="shared" si="0"/>
        <v>0</v>
      </c>
      <c r="J41" s="61"/>
      <c r="K41" s="54"/>
      <c r="L41" s="54"/>
      <c r="M41" s="62"/>
    </row>
    <row r="42" spans="1:13">
      <c r="A42" s="35">
        <v>27</v>
      </c>
      <c r="B42" s="54">
        <f>[1]gaisuan!F40</f>
        <v>0</v>
      </c>
      <c r="C42" s="54"/>
      <c r="D42" s="36">
        <f>[1]gaisuan!G40</f>
        <v>0</v>
      </c>
      <c r="E42" s="37">
        <f>[1]gaisuan!H40</f>
        <v>0</v>
      </c>
      <c r="F42" s="36">
        <f>IF([1]gaisuan!W40=100%,0)+IF([1]gaisuan!W40&lt;100%,[1]gaisuan!I40)</f>
        <v>0</v>
      </c>
      <c r="G42" s="36">
        <f>[1]gaisuan!J40</f>
        <v>0</v>
      </c>
      <c r="H42" s="38">
        <f>IF(B42&gt;0,[1]gaisuan!AE40)+IF(B42=0,0)</f>
        <v>0</v>
      </c>
      <c r="I42" s="38">
        <f t="shared" si="0"/>
        <v>0</v>
      </c>
      <c r="J42" s="61"/>
      <c r="K42" s="54"/>
      <c r="L42" s="54"/>
      <c r="M42" s="62"/>
    </row>
    <row r="43" spans="1:13">
      <c r="A43" s="68">
        <f>[1]gaisuan!F39</f>
        <v>0</v>
      </c>
      <c r="B43" s="69"/>
      <c r="C43" s="69"/>
      <c r="D43" s="69"/>
      <c r="E43" s="70"/>
      <c r="F43" s="77" t="s">
        <v>30</v>
      </c>
      <c r="G43" s="77"/>
      <c r="H43" s="78">
        <f>SUM(I14:I42)</f>
        <v>0</v>
      </c>
      <c r="I43" s="78"/>
      <c r="J43" s="61"/>
      <c r="K43" s="54"/>
      <c r="L43" s="54"/>
      <c r="M43" s="62"/>
    </row>
    <row r="44" spans="1:13">
      <c r="A44" s="71"/>
      <c r="B44" s="72"/>
      <c r="C44" s="72"/>
      <c r="D44" s="72"/>
      <c r="E44" s="73"/>
      <c r="F44" s="77" t="s">
        <v>31</v>
      </c>
      <c r="G44" s="77"/>
      <c r="H44" s="78">
        <f>ROUND(H43*0.11,2)</f>
        <v>0</v>
      </c>
      <c r="I44" s="78"/>
      <c r="J44" s="61"/>
      <c r="K44" s="54"/>
      <c r="L44" s="54"/>
      <c r="M44" s="62"/>
    </row>
    <row r="45" spans="1:13">
      <c r="A45" s="71"/>
      <c r="B45" s="72"/>
      <c r="C45" s="72"/>
      <c r="D45" s="72"/>
      <c r="E45" s="73"/>
      <c r="F45" s="77" t="s">
        <v>32</v>
      </c>
      <c r="G45" s="77"/>
      <c r="H45" s="78">
        <f>H43+H44</f>
        <v>0</v>
      </c>
      <c r="I45" s="78"/>
      <c r="J45" s="79"/>
      <c r="K45" s="79"/>
      <c r="L45" s="79"/>
      <c r="M45" s="80"/>
    </row>
    <row r="46" spans="1:13">
      <c r="A46" s="71"/>
      <c r="B46" s="72"/>
      <c r="C46" s="72"/>
      <c r="D46" s="72"/>
      <c r="E46" s="73"/>
      <c r="F46" s="81" t="s">
        <v>33</v>
      </c>
      <c r="G46" s="82"/>
      <c r="H46" s="82"/>
      <c r="I46" s="82"/>
      <c r="J46" s="82"/>
      <c r="K46" s="82"/>
      <c r="L46" s="82"/>
      <c r="M46" s="83"/>
    </row>
    <row r="47" spans="1:13" ht="15.75" thickBot="1">
      <c r="A47" s="74"/>
      <c r="B47" s="75"/>
      <c r="C47" s="75"/>
      <c r="D47" s="75"/>
      <c r="E47" s="76"/>
      <c r="F47" s="84"/>
      <c r="G47" s="85"/>
      <c r="H47" s="85"/>
      <c r="I47" s="85"/>
      <c r="J47" s="85"/>
      <c r="K47" s="85"/>
      <c r="L47" s="85"/>
      <c r="M47" s="86"/>
    </row>
  </sheetData>
  <protectedRanges>
    <protectedRange sqref="J16:M47" name="区域3"/>
    <protectedRange sqref="H5:K7" name="区域2"/>
    <protectedRange sqref="C9:F13" name="区域1"/>
  </protectedRanges>
  <mergeCells count="84">
    <mergeCell ref="B41:C41"/>
    <mergeCell ref="J41:M41"/>
    <mergeCell ref="B42:C42"/>
    <mergeCell ref="J42:M42"/>
    <mergeCell ref="A43:E47"/>
    <mergeCell ref="F43:G43"/>
    <mergeCell ref="H43:I43"/>
    <mergeCell ref="J43:M43"/>
    <mergeCell ref="F44:G44"/>
    <mergeCell ref="H44:I44"/>
    <mergeCell ref="J44:M44"/>
    <mergeCell ref="F45:G45"/>
    <mergeCell ref="H45:I45"/>
    <mergeCell ref="J45:M45"/>
    <mergeCell ref="F46:M47"/>
    <mergeCell ref="B38:C38"/>
    <mergeCell ref="J38:M38"/>
    <mergeCell ref="B39:C39"/>
    <mergeCell ref="J39:M39"/>
    <mergeCell ref="B40:C40"/>
    <mergeCell ref="J40:M40"/>
    <mergeCell ref="B35:C35"/>
    <mergeCell ref="J35:M35"/>
    <mergeCell ref="B36:C36"/>
    <mergeCell ref="J36:M36"/>
    <mergeCell ref="B37:C37"/>
    <mergeCell ref="J37:M37"/>
    <mergeCell ref="B32:C32"/>
    <mergeCell ref="J32:M32"/>
    <mergeCell ref="B33:C33"/>
    <mergeCell ref="J33:M33"/>
    <mergeCell ref="B34:C34"/>
    <mergeCell ref="J34:M34"/>
    <mergeCell ref="B29:C29"/>
    <mergeCell ref="J29:M29"/>
    <mergeCell ref="B30:C30"/>
    <mergeCell ref="J30:M30"/>
    <mergeCell ref="B31:C31"/>
    <mergeCell ref="J31:M31"/>
    <mergeCell ref="B26:C26"/>
    <mergeCell ref="J26:M26"/>
    <mergeCell ref="B27:C27"/>
    <mergeCell ref="J27:M27"/>
    <mergeCell ref="B28:C28"/>
    <mergeCell ref="J28:M28"/>
    <mergeCell ref="B23:C23"/>
    <mergeCell ref="J23:M23"/>
    <mergeCell ref="B24:C24"/>
    <mergeCell ref="J24:M24"/>
    <mergeCell ref="B25:C25"/>
    <mergeCell ref="J25:M25"/>
    <mergeCell ref="B20:C20"/>
    <mergeCell ref="J20:M20"/>
    <mergeCell ref="B21:C21"/>
    <mergeCell ref="J21:M21"/>
    <mergeCell ref="B22:C22"/>
    <mergeCell ref="J22:M22"/>
    <mergeCell ref="B17:C17"/>
    <mergeCell ref="J17:M17"/>
    <mergeCell ref="B18:C18"/>
    <mergeCell ref="J18:M18"/>
    <mergeCell ref="B19:C19"/>
    <mergeCell ref="J19:M19"/>
    <mergeCell ref="A12:B12"/>
    <mergeCell ref="A13:B13"/>
    <mergeCell ref="B15:C15"/>
    <mergeCell ref="J15:M15"/>
    <mergeCell ref="B16:C16"/>
    <mergeCell ref="J16:M16"/>
    <mergeCell ref="K12:K14"/>
    <mergeCell ref="L12:L14"/>
    <mergeCell ref="M12:M14"/>
    <mergeCell ref="A11:B11"/>
    <mergeCell ref="A1:M1"/>
    <mergeCell ref="A3:B3"/>
    <mergeCell ref="I3:K3"/>
    <mergeCell ref="A4:B4"/>
    <mergeCell ref="A5:B5"/>
    <mergeCell ref="A6:B6"/>
    <mergeCell ref="A7:B7"/>
    <mergeCell ref="A8:B8"/>
    <mergeCell ref="C8:D8"/>
    <mergeCell ref="A9:B9"/>
    <mergeCell ref="A10:B10"/>
  </mergeCells>
  <conditionalFormatting sqref="C10">
    <cfRule type="cellIs" dxfId="2" priority="1" stopIfTrue="1" operator="equal">
      <formula>0</formula>
    </cfRule>
  </conditionalFormatting>
  <conditionalFormatting sqref="A43 C17:C20 B16:B20 B21:C42 D16:E42">
    <cfRule type="cellIs" dxfId="1" priority="2" stopIfTrue="1" operator="equal">
      <formula>0</formula>
    </cfRule>
  </conditionalFormatting>
  <conditionalFormatting sqref="F43:F46 F16:H42">
    <cfRule type="cellIs" dxfId="0" priority="3" stopIfTrue="1" operator="lessThan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Risyan</dc:creator>
  <cp:lastModifiedBy>Risyan</cp:lastModifiedBy>
  <dcterms:created xsi:type="dcterms:W3CDTF">2026-04-01T10:51:06Z</dcterms:created>
  <dcterms:modified xsi:type="dcterms:W3CDTF">2026-04-01T11:17:27Z</dcterms:modified>
</cp:coreProperties>
</file>